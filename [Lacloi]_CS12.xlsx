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0_Hướng dẫn" sheetId="1" state="visible" r:id="rId1"/>
    <sheet xmlns:r="http://schemas.openxmlformats.org/officeDocument/2006/relationships" name="0_Tình huống" sheetId="2" state="visible" r:id="rId2"/>
    <sheet xmlns:r="http://schemas.openxmlformats.org/officeDocument/2006/relationships" name="Bài 1" sheetId="3" state="visible" r:id="rId3"/>
    <sheet xmlns:r="http://schemas.openxmlformats.org/officeDocument/2006/relationships" name="Bài 2" sheetId="4" state="visible" r:id="rId4"/>
    <sheet xmlns:r="http://schemas.openxmlformats.org/officeDocument/2006/relationships" name="Bài 3" sheetId="5" state="visible" r:id="rId5"/>
    <sheet xmlns:r="http://schemas.openxmlformats.org/officeDocument/2006/relationships" name="Bài 4" sheetId="6" state="visible" r:id="rId6"/>
    <sheet xmlns:r="http://schemas.openxmlformats.org/officeDocument/2006/relationships" name="Bài 5" sheetId="7" state="visible" r:id="rId7"/>
    <sheet xmlns:r="http://schemas.openxmlformats.org/officeDocument/2006/relationships" name="Xưởng" sheetId="8" state="visible" r:id="rId8"/>
    <sheet xmlns:r="http://schemas.openxmlformats.org/officeDocument/2006/relationships" name="Thang điểm" sheetId="9" state="visible" r:id="rId9"/>
    <sheet xmlns:r="http://schemas.openxmlformats.org/officeDocument/2006/relationships" name="Tổng hợp" sheetId="10" state="visible" r:id="rId10"/>
    <sheet xmlns:r="http://schemas.openxmlformats.org/officeDocument/2006/relationships" name="_ds" sheetId="11" state="hidden" r:id="rId11"/>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RED]\-#,##0"/>
    <numFmt numFmtId="165" formatCode="0.0%"/>
    <numFmt numFmtId="166" formatCode="0.0"/>
  </numFmts>
  <fonts count="11">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libri"/>
      <charset val="1"/>
      <family val="0"/>
      <b val="1"/>
      <sz val="11"/>
    </font>
    <font>
      <name val="Calibri"/>
      <charset val="1"/>
      <family val="0"/>
      <sz val="11"/>
    </font>
    <font>
      <name val="Cambria"/>
      <charset val="1"/>
      <family val="0"/>
      <b val="1"/>
      <sz val="11"/>
    </font>
    <font>
      <name val="Cambria"/>
      <charset val="1"/>
      <family val="0"/>
      <b val="1"/>
      <color rgb="FFFFFFFF"/>
      <sz val="11"/>
    </font>
    <font>
      <name val="Calibri"/>
      <charset val="1"/>
      <family val="0"/>
      <i val="1"/>
      <color rgb="FF595959"/>
      <sz val="10"/>
    </font>
  </fonts>
  <fills count="5">
    <fill>
      <patternFill/>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7">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xf>
    <xf numFmtId="0" fontId="9" fillId="2" borderId="1" applyAlignment="1" pivotButton="0" quotePrefix="0" xfId="0">
      <alignment horizontal="general" vertical="top" wrapText="1"/>
    </xf>
    <xf numFmtId="0" fontId="7" fillId="0" borderId="1" applyAlignment="1" pivotButton="0" quotePrefix="0" xfId="0">
      <alignment horizontal="general" vertical="top" wrapText="1"/>
    </xf>
    <xf numFmtId="0" fontId="6" fillId="0" borderId="1" applyAlignment="1" pivotButton="0" quotePrefix="0" xfId="0">
      <alignment horizontal="general" vertical="top" wrapText="1"/>
    </xf>
    <xf numFmtId="0" fontId="10" fillId="0" borderId="0" applyAlignment="1" pivotButton="0" quotePrefix="0" xfId="0">
      <alignment horizontal="general" vertical="top" wrapText="1"/>
    </xf>
    <xf numFmtId="1" fontId="7" fillId="3" borderId="1" applyAlignment="1" applyProtection="1" pivotButton="0" quotePrefix="0" xfId="0">
      <alignment horizontal="general" vertical="top" wrapText="1"/>
      <protection locked="0" hidden="0"/>
    </xf>
    <xf numFmtId="0" fontId="7" fillId="4" borderId="1" applyAlignment="1" applyProtection="1" pivotButton="0" quotePrefix="0" xfId="0">
      <alignment horizontal="general" vertical="top" wrapText="1"/>
      <protection locked="1" hidden="1"/>
    </xf>
    <xf numFmtId="9" fontId="7" fillId="3" borderId="1" applyAlignment="1" applyProtection="1" pivotButton="0" quotePrefix="0" xfId="0">
      <alignment horizontal="general" vertical="top" wrapText="1"/>
      <protection locked="0" hidden="0"/>
    </xf>
    <xf numFmtId="164" fontId="7" fillId="3" borderId="1" applyAlignment="1" applyProtection="1" pivotButton="0" quotePrefix="0" xfId="0">
      <alignment horizontal="general" vertical="top" wrapText="1"/>
      <protection locked="0" hidden="0"/>
    </xf>
    <xf numFmtId="1" fontId="6" fillId="4" borderId="1" applyAlignment="1" pivotButton="0" quotePrefix="0" xfId="0">
      <alignment horizontal="general" vertical="top" wrapText="1"/>
    </xf>
    <xf numFmtId="165" fontId="7" fillId="3" borderId="1" applyAlignment="1" applyProtection="1" pivotButton="0" quotePrefix="0" xfId="0">
      <alignment horizontal="general" vertical="top" wrapText="1"/>
      <protection locked="0" hidden="0"/>
    </xf>
    <xf numFmtId="2" fontId="7" fillId="3" borderId="1" applyAlignment="1" applyProtection="1" pivotButton="0" quotePrefix="0" xfId="0">
      <alignment horizontal="general" vertical="top" wrapText="1"/>
      <protection locked="0" hidden="0"/>
    </xf>
    <xf numFmtId="0" fontId="8" fillId="0" borderId="0" applyAlignment="1" pivotButton="0" quotePrefix="0" xfId="0">
      <alignment horizontal="general" vertical="top" wrapText="1"/>
    </xf>
    <xf numFmtId="1" fontId="7" fillId="4" borderId="1" applyAlignment="1" pivotButton="0" quotePrefix="0" xfId="0">
      <alignment horizontal="general" vertical="top" wrapText="1"/>
    </xf>
    <xf numFmtId="165" fontId="6" fillId="4" borderId="1" applyAlignment="1" pivotButton="0" quotePrefix="0" xfId="0">
      <alignment horizontal="general" vertical="top" wrapText="1"/>
    </xf>
    <xf numFmtId="9" fontId="7" fillId="0" borderId="1" applyAlignment="1" pivotButton="0" quotePrefix="0" xfId="0">
      <alignment horizontal="general" vertical="top" wrapText="1"/>
    </xf>
    <xf numFmtId="166" fontId="7" fillId="0" borderId="1" applyAlignment="1" pivotButton="0" quotePrefix="0" xfId="0">
      <alignment horizontal="general" vertical="top" wrapText="1"/>
    </xf>
    <xf numFmtId="166" fontId="6" fillId="4" borderId="1" applyAlignment="1" pivotButton="0" quotePrefix="0" xfId="0">
      <alignment horizontal="general" vertical="top" wrapText="1"/>
    </xf>
    <xf numFmtId="2" fontId="6" fillId="4" borderId="1" applyAlignment="1" pivotButton="0" quotePrefix="0" xfId="0">
      <alignment horizontal="general" vertical="top" wrapText="1"/>
    </xf>
    <xf numFmtId="1" fontId="7" fillId="0" borderId="1" applyAlignment="1" pivotButton="0" quotePrefix="0" xfId="0">
      <alignment horizontal="general" vertical="top" wrapText="1"/>
    </xf>
    <xf numFmtId="0" fontId="7"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xf>
    <xf numFmtId="0" fontId="9" fillId="2" borderId="1" applyAlignment="1" pivotButton="0" quotePrefix="0" xfId="0">
      <alignment horizontal="general" vertical="top" wrapText="1"/>
    </xf>
    <xf numFmtId="0" fontId="7" fillId="0" borderId="1" applyAlignment="1" pivotButton="0" quotePrefix="0" xfId="0">
      <alignment horizontal="general" vertical="top" wrapText="1"/>
    </xf>
    <xf numFmtId="0" fontId="6" fillId="0" borderId="1"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4" pivotButton="0" quotePrefix="0" xfId="0"/>
    <xf numFmtId="1" fontId="7" fillId="3" borderId="1" applyAlignment="1" applyProtection="1" pivotButton="0" quotePrefix="0" xfId="0">
      <alignment horizontal="general" vertical="top" wrapText="1"/>
      <protection locked="0" hidden="0"/>
    </xf>
    <xf numFmtId="0" fontId="7" fillId="4" borderId="1" applyAlignment="1" applyProtection="1" pivotButton="0" quotePrefix="0" xfId="0">
      <alignment horizontal="general" vertical="top" wrapText="1"/>
      <protection locked="1" hidden="1"/>
    </xf>
    <xf numFmtId="9" fontId="7" fillId="3" borderId="1" applyAlignment="1" applyProtection="1" pivotButton="0" quotePrefix="0" xfId="0">
      <alignment horizontal="general" vertical="top" wrapText="1"/>
      <protection locked="0" hidden="0"/>
    </xf>
    <xf numFmtId="164" fontId="7" fillId="3" borderId="1" applyAlignment="1" applyProtection="1" pivotButton="0" quotePrefix="0" xfId="0">
      <alignment horizontal="general" vertical="top" wrapText="1"/>
      <protection locked="0" hidden="0"/>
    </xf>
    <xf numFmtId="1" fontId="6" fillId="4" borderId="1" applyAlignment="1" pivotButton="0" quotePrefix="0" xfId="0">
      <alignment horizontal="general" vertical="top" wrapText="1"/>
    </xf>
    <xf numFmtId="0" fontId="0" fillId="0" borderId="5" pivotButton="0" quotePrefix="0" xfId="0"/>
    <xf numFmtId="165" fontId="7" fillId="3" borderId="1" applyAlignment="1" applyProtection="1" pivotButton="0" quotePrefix="0" xfId="0">
      <alignment horizontal="general" vertical="top" wrapText="1"/>
      <protection locked="0" hidden="0"/>
    </xf>
    <xf numFmtId="2" fontId="7" fillId="3" borderId="1" applyAlignment="1" applyProtection="1" pivotButton="0" quotePrefix="0" xfId="0">
      <alignment horizontal="general" vertical="top" wrapText="1"/>
      <protection locked="0" hidden="0"/>
    </xf>
    <xf numFmtId="0" fontId="0" fillId="0" borderId="5" applyProtection="1" pivotButton="0" quotePrefix="0" xfId="0">
      <protection locked="0" hidden="0"/>
    </xf>
    <xf numFmtId="0" fontId="0" fillId="0" borderId="4" applyProtection="1" pivotButton="0" quotePrefix="0" xfId="0">
      <protection locked="0" hidden="0"/>
    </xf>
    <xf numFmtId="0" fontId="8" fillId="0" borderId="0" applyAlignment="1" pivotButton="0" quotePrefix="0" xfId="0">
      <alignment horizontal="general" vertical="top" wrapText="1"/>
    </xf>
    <xf numFmtId="1" fontId="7" fillId="4" borderId="1" applyAlignment="1" pivotButton="0" quotePrefix="0" xfId="0">
      <alignment horizontal="general" vertical="top" wrapText="1"/>
    </xf>
    <xf numFmtId="165" fontId="6" fillId="4" borderId="1" applyAlignment="1" pivotButton="0" quotePrefix="0" xfId="0">
      <alignment horizontal="general" vertical="top" wrapText="1"/>
    </xf>
    <xf numFmtId="9" fontId="7" fillId="0" borderId="1" applyAlignment="1" pivotButton="0" quotePrefix="0" xfId="0">
      <alignment horizontal="general" vertical="top" wrapText="1"/>
    </xf>
    <xf numFmtId="166" fontId="7" fillId="0" borderId="1" applyAlignment="1" pivotButton="0" quotePrefix="0" xfId="0">
      <alignment horizontal="general" vertical="top" wrapText="1"/>
    </xf>
    <xf numFmtId="166" fontId="6" fillId="4" borderId="1" applyAlignment="1" pivotButton="0" quotePrefix="0" xfId="0">
      <alignment horizontal="general" vertical="top" wrapText="1"/>
    </xf>
    <xf numFmtId="2" fontId="6" fillId="4" borderId="1" applyAlignment="1" pivotButton="0" quotePrefix="0" xfId="0">
      <alignment horizontal="general" vertical="top" wrapText="1"/>
    </xf>
    <xf numFmtId="1" fontId="7" fillId="0" borderId="1" applyAlignment="1" pivotButton="0" quotePrefix="0" xfId="0">
      <alignment horizontal="general" vertical="top" wrapText="1"/>
    </xf>
    <xf numFmtId="0" fontId="7"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D3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26" min="1" max="1"/>
    <col width="14" customWidth="1" style="26" min="2" max="2"/>
    <col width="70" customWidth="1" style="26" min="3" max="3"/>
    <col width="12" customWidth="1" style="26" min="4" max="4"/>
  </cols>
  <sheetData>
    <row r="1" ht="17.35" customHeight="1" s="27">
      <c r="A1" s="28" t="inlineStr">
        <is>
          <t>CS12 · Đánh giá sản phẩm AI · Bài tập buổi sáng 16/10/2026</t>
        </is>
      </c>
    </row>
    <row r="2" ht="33" customHeight="1" s="27">
      <c r="A2" s="29" t="inlineStr">
        <is>
          <t>AI in Action · Track 1 · Khóa 4. Bài tập đi kèm bộ slide "AI Evaluation" của chị Mai Anh Nguyen (66 trang). Slide của chị Mai Anh giữ nguyên; file này là phần thực hành.</t>
        </is>
      </c>
    </row>
    <row r="4" ht="33" customHeight="1" s="27">
      <c r="A4" s="30" t="inlineStr">
        <is>
          <t>Luật chơi: CHỈ điền vào ô màu VÀNG. Ô màu XANH LÁ NHẠT tự tính và đã khoá. Cột "Kiểm tra" báo Đúng hoặc Chưa đúng ngay khi điền.</t>
        </is>
      </c>
    </row>
    <row r="5" ht="33" customHeight="1" s="27">
      <c r="A5" s="31" t="inlineStr">
        <is>
          <t>Bài 1–5 (10–12 phút mỗi bài, sau mỗi phần trình chiếu): làm CÁ NHÂN, không tính điểm, để tự biết mình đã hiểu chưa. Chưa đúng: đọc lại trang slide ghi ở cột "Trang", sửa, rồi hỏi trong khung chat.</t>
        </is>
      </c>
    </row>
    <row r="6" ht="33" customHeight="1" s="27">
      <c r="A6" s="31" t="inlineStr">
        <is>
          <t>Xưởng (50 phút, cuối buổi): làm THEO NHÓM 4–6 người trong phòng nhóm. Có chấm điểm theo trang "Thang điểm". Mỗi nhóm nộp 1 file.</t>
        </is>
      </c>
    </row>
    <row r="7" ht="33" customHeight="1" s="27">
      <c r="A7" s="31" t="inlineStr">
        <is>
          <t>Mọi bài dùng chung một tình huống giả định: trợ lý đổi trả của cửa hàng Mộc Store. Đọc trang "0_Tình huống" trước Bài 1 (3 phút).</t>
        </is>
      </c>
    </row>
    <row r="8" ht="33" customHeight="1" s="27">
      <c r="A8" s="31" t="inlineStr">
        <is>
          <t>Tên file nộp: [Nhom]_CS12.xlsx · Nộp lên VLearn trước 13:00 ngày 16/10. Chỉ cần trang Xưởng đã điền; Bài 1–5 điền hay không đều được.</t>
        </is>
      </c>
    </row>
    <row r="9" ht="18" customHeight="1" s="27">
      <c r="A9" s="31" t="inlineStr">
        <is>
          <t>Tỷ lệ gõ kèm dấu % (ví dụ 84%). Số thập phân dùng dấu phẩy hay dấu chấm tùy máy; nếu ô báo "Gõ một số" thì đổi dấu.</t>
        </is>
      </c>
    </row>
    <row r="10" ht="18" customHeight="1" s="27">
      <c r="A10" s="31" t="inlineStr">
        <is>
          <t>Đáp án và giải thích: giảng viên chiếu ngay sau mỗi bài; bản đáp án đầy đủ gửi sau buổi học.</t>
        </is>
      </c>
    </row>
    <row r="12" ht="15" customHeight="1" s="27">
      <c r="A12" s="32" t="inlineStr">
        <is>
          <t>Lịch buổi sáng 16/10 (trực tuyến)</t>
        </is>
      </c>
    </row>
    <row r="13" ht="18" customHeight="1" s="27">
      <c r="A13" s="33" t="inlineStr">
        <is>
          <t>Giờ</t>
        </is>
      </c>
      <c r="B13" s="33" t="inlineStr">
        <is>
          <t>Hoạt động</t>
        </is>
      </c>
      <c r="C13" s="33" t="inlineStr">
        <is>
          <t>Nội dung</t>
        </is>
      </c>
      <c r="D13" s="33" t="inlineStr">
        <is>
          <t>Thời lượng</t>
        </is>
      </c>
    </row>
    <row r="14" ht="33" customHeight="1" s="27">
      <c r="A14" s="34" t="inlineStr">
        <is>
          <t>09:00–09:05</t>
        </is>
      </c>
      <c r="B14" s="34" t="inlineStr">
        <is>
          <t>Mở đầu</t>
        </is>
      </c>
      <c r="C14" s="34" t="inlineStr">
        <is>
          <t>Chào lớp; giới thiệu tình huống Mộc Store (slide bài tập 1–9); trợ giảng gửi đường dẫn tài liệu</t>
        </is>
      </c>
      <c r="D14" s="34" t="n"/>
    </row>
    <row r="15" ht="18" customHeight="1" s="27">
      <c r="A15" s="34" t="inlineStr">
        <is>
          <t>09:05–09:20</t>
        </is>
      </c>
      <c r="B15" s="34" t="inlineStr">
        <is>
          <t>Trình chiếu</t>
        </is>
      </c>
      <c r="C15" s="34" t="inlineStr">
        <is>
          <t>Trang 1–12: khoảng trống đánh giá, tình huống Notion AI</t>
        </is>
      </c>
      <c r="D15" s="34" t="n"/>
    </row>
    <row r="16" ht="18" customHeight="1" s="27">
      <c r="A16" s="34" t="inlineStr">
        <is>
          <t>09:20–09:40</t>
        </is>
      </c>
      <c r="B16" s="34" t="inlineStr">
        <is>
          <t>Trình chiếu</t>
        </is>
      </c>
      <c r="C16" s="34" t="inlineStr">
        <is>
          <t>Phần 01 · trang 13–23: vòng đời đánh giá, báo cáo, tài liệu yêu cầu</t>
        </is>
      </c>
      <c r="D16" s="34" t="n"/>
    </row>
    <row r="17" ht="18" customHeight="1" s="27">
      <c r="A17" s="34" t="inlineStr">
        <is>
          <t>09:40–09:50</t>
        </is>
      </c>
      <c r="B17" s="35" t="inlineStr">
        <is>
          <t>Bài 1</t>
        </is>
      </c>
      <c r="C17" s="34" t="inlineStr">
        <is>
          <t>Đọc báo cáo đánh giá và thu hẹp phạm vi</t>
        </is>
      </c>
      <c r="D17" s="34" t="inlineStr">
        <is>
          <t>10 phút</t>
        </is>
      </c>
    </row>
    <row r="18" ht="18" customHeight="1" s="27">
      <c r="A18" s="34" t="inlineStr">
        <is>
          <t>09:50–10:05</t>
        </is>
      </c>
      <c r="B18" s="34" t="inlineStr">
        <is>
          <t>Trình chiếu</t>
        </is>
      </c>
      <c r="C18" s="34" t="inlineStr">
        <is>
          <t>Phần 02 · trang 24–30: phủ ca, lưới đầu vào, ngân hàng tình huống</t>
        </is>
      </c>
      <c r="D18" s="34" t="n"/>
    </row>
    <row r="19" ht="18" customHeight="1" s="27">
      <c r="A19" s="34" t="inlineStr">
        <is>
          <t>10:05–10:17</t>
        </is>
      </c>
      <c r="B19" s="35" t="inlineStr">
        <is>
          <t>Bài 2</t>
        </is>
      </c>
      <c r="C19" s="34" t="inlineStr">
        <is>
          <t>Phủ ca và chọn tình huống</t>
        </is>
      </c>
      <c r="D19" s="34" t="inlineStr">
        <is>
          <t>12 phút</t>
        </is>
      </c>
    </row>
    <row r="20" ht="18" customHeight="1" s="27">
      <c r="A20" s="34" t="inlineStr">
        <is>
          <t>10:17–10:27</t>
        </is>
      </c>
      <c r="B20" s="34" t="inlineStr">
        <is>
          <t>Nghỉ</t>
        </is>
      </c>
      <c r="C20" s="34" t="inlineStr">
        <is>
          <t>Nghỉ 10 phút</t>
        </is>
      </c>
      <c r="D20" s="34" t="n"/>
    </row>
    <row r="21" ht="18" customHeight="1" s="27">
      <c r="A21" s="34" t="inlineStr">
        <is>
          <t>10:27–10:40</t>
        </is>
      </c>
      <c r="B21" s="34" t="inlineStr">
        <is>
          <t>Trình chiếu</t>
        </is>
      </c>
      <c r="C21" s="34" t="inlineStr">
        <is>
          <t>Phần 03 · trang 31–36: đọc vết thực thi, mã lỗi</t>
        </is>
      </c>
      <c r="D21" s="34" t="n"/>
    </row>
    <row r="22" ht="18" customHeight="1" s="27">
      <c r="A22" s="34" t="inlineStr">
        <is>
          <t>10:40–10:50</t>
        </is>
      </c>
      <c r="B22" s="35" t="inlineStr">
        <is>
          <t>Bài 3</t>
        </is>
      </c>
      <c r="C22" s="34" t="inlineStr">
        <is>
          <t>Đọc vết thực thi, tìm bước sai đầu tiên</t>
        </is>
      </c>
      <c r="D22" s="34" t="inlineStr">
        <is>
          <t>10 phút</t>
        </is>
      </c>
    </row>
    <row r="23" ht="18" customHeight="1" s="27">
      <c r="A23" s="34" t="inlineStr">
        <is>
          <t>10:50–11:12</t>
        </is>
      </c>
      <c r="B23" s="34" t="inlineStr">
        <is>
          <t>Trình chiếu</t>
        </is>
      </c>
      <c r="C23" s="34" t="inlineStr">
        <is>
          <t>Phần 04–05 · trang 37–50: chấm tự động, chấm bằng mã lệnh</t>
        </is>
      </c>
      <c r="D23" s="34" t="n"/>
    </row>
    <row r="24" ht="18" customHeight="1" s="27">
      <c r="A24" s="34" t="inlineStr">
        <is>
          <t>11:12–11:22</t>
        </is>
      </c>
      <c r="B24" s="35" t="inlineStr">
        <is>
          <t>Bài 4</t>
        </is>
      </c>
      <c r="C24" s="34" t="inlineStr">
        <is>
          <t>Chọn cách chấm và ra kết luận</t>
        </is>
      </c>
      <c r="D24" s="34" t="inlineStr">
        <is>
          <t>10 phút</t>
        </is>
      </c>
    </row>
    <row r="25" ht="18" customHeight="1" s="27">
      <c r="A25" s="34" t="inlineStr">
        <is>
          <t>11:22–11:32</t>
        </is>
      </c>
      <c r="B25" s="34" t="inlineStr">
        <is>
          <t>Nghỉ</t>
        </is>
      </c>
      <c r="C25" s="34" t="inlineStr">
        <is>
          <t>Nghỉ 10 phút</t>
        </is>
      </c>
      <c r="D25" s="34" t="n"/>
    </row>
    <row r="26" ht="18" customHeight="1" s="27">
      <c r="A26" s="34" t="inlineStr">
        <is>
          <t>11:32–11:48</t>
        </is>
      </c>
      <c r="B26" s="34" t="inlineStr">
        <is>
          <t>Trình chiếu</t>
        </is>
      </c>
      <c r="C26" s="34" t="inlineStr">
        <is>
          <t>Phần 06 · trang 51–59: hiệu chỉnh giám khảo AI</t>
        </is>
      </c>
      <c r="D26" s="34" t="n"/>
    </row>
    <row r="27" ht="18" customHeight="1" s="27">
      <c r="A27" s="34" t="inlineStr">
        <is>
          <t>11:48–11:58</t>
        </is>
      </c>
      <c r="B27" s="35" t="inlineStr">
        <is>
          <t>Bài 5</t>
        </is>
      </c>
      <c r="C27" s="34" t="inlineStr">
        <is>
          <t>Hiệu chỉnh giám khảo AI</t>
        </is>
      </c>
      <c r="D27" s="34" t="inlineStr">
        <is>
          <t>10 phút</t>
        </is>
      </c>
    </row>
    <row r="28" ht="18" customHeight="1" s="27">
      <c r="A28" s="34" t="inlineStr">
        <is>
          <t>11:58–12:06</t>
        </is>
      </c>
      <c r="B28" s="34" t="inlineStr">
        <is>
          <t>Trình chiếu</t>
        </is>
      </c>
      <c r="C28" s="34" t="inlineStr">
        <is>
          <t>Phần 07 · trang 60–66: đưa chuyên gia vào vòng lặp, tổng kết</t>
        </is>
      </c>
      <c r="D28" s="34" t="n"/>
    </row>
    <row r="29" ht="33" customHeight="1" s="27">
      <c r="A29" s="34" t="inlineStr">
        <is>
          <t>12:06–12:56</t>
        </is>
      </c>
      <c r="B29" s="35" t="inlineStr">
        <is>
          <t>Xưởng</t>
        </is>
      </c>
      <c r="C29" s="34" t="inlineStr">
        <is>
          <t>Hướng dẫn 4 phút; làm trong phòng nhóm 12:10–12:53; soát và nộp 12:53–12:56 (nhóm 4–6 người, có chấm điểm)</t>
        </is>
      </c>
      <c r="D29" s="34" t="inlineStr">
        <is>
          <t>50 phút</t>
        </is>
      </c>
    </row>
    <row r="30" ht="18" customHeight="1" s="27">
      <c r="A30" s="34" t="inlineStr">
        <is>
          <t>12:56–13:00</t>
        </is>
      </c>
      <c r="B30" s="34" t="inlineStr">
        <is>
          <t>Nộp bài</t>
        </is>
      </c>
      <c r="C30" s="34" t="inlineStr">
        <is>
          <t>Nộp file lên VLearn, kết thúc buổi sáng</t>
        </is>
      </c>
      <c r="D30" s="34" t="n"/>
    </row>
  </sheetData>
  <sheetProtection selectLockedCells="0" selectUnlockedCells="0" sheet="1" objects="0" insertRows="1" insertHyperlinks="1" autoFilter="1" scenarios="0" formatColumns="1" deleteColumns="1" insertColumns="1" pivotTables="1" deleteRows="1" formatCells="1" formatRows="1" sort="1" password="c716"/>
  <mergeCells count="8">
    <mergeCell ref="A5:D5"/>
    <mergeCell ref="A9:D9"/>
    <mergeCell ref="A8:D8"/>
    <mergeCell ref="A6:D6"/>
    <mergeCell ref="A4:D4"/>
    <mergeCell ref="A7:D7"/>
    <mergeCell ref="A2:D2"/>
    <mergeCell ref="A10:D10"/>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C6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26" min="1" max="1"/>
    <col width="34" customWidth="1" style="26" min="2" max="2"/>
    <col width="70" customWidth="1" style="26" min="3" max="3"/>
  </cols>
  <sheetData>
    <row r="1" ht="17.35" customHeight="1" s="27">
      <c r="A1" s="28" t="inlineStr">
        <is>
          <t>Hồ sơ tình huống · Trợ lý đổi trả của Mộc Store (giả định)</t>
        </is>
      </c>
    </row>
    <row r="2" ht="33" customHeight="1" s="27">
      <c r="A2" s="29" t="inlineStr">
        <is>
          <t>Mộc Store là cửa hàng thời trang bán online (áo, quần, giày) qua website và Zalo. Tình huống giả định, dùng cho toàn bộ buổi sáng.</t>
        </is>
      </c>
    </row>
    <row r="3" ht="18" customHeight="1" s="27">
      <c r="A3" s="31" t="inlineStr">
        <is>
          <t>Trợ lý AI "Mộc" trả lời tin nhắn về đổi hàng, trả hàng và tình trạng đơn. Khoảng 300 tin nhắn loại này mỗi ngày.</t>
        </is>
      </c>
    </row>
    <row r="4" ht="18" customHeight="1" s="27">
      <c r="A4" s="31" t="inlineStr">
        <is>
          <t>Chuyên gia: chị Ngân, trưởng nhóm chăm sóc khách hàng, 6 năm kinh nghiệm. Chị là người định nghĩa thế nào là "đạt".</t>
        </is>
      </c>
    </row>
    <row r="6" ht="15" customHeight="1" s="27">
      <c r="A6" s="32" t="inlineStr">
        <is>
          <t>Chính sách đổi trả</t>
        </is>
      </c>
    </row>
    <row r="7" ht="18" customHeight="1" s="27">
      <c r="A7" s="33" t="inlineStr">
        <is>
          <t>Mã</t>
        </is>
      </c>
      <c r="B7" s="33" t="inlineStr">
        <is>
          <t>Nội dung</t>
        </is>
      </c>
      <c r="C7" s="33" t="inlineStr">
        <is>
          <t>Quy định</t>
        </is>
      </c>
    </row>
    <row r="8" ht="18" customHeight="1" s="27">
      <c r="A8" s="35" t="inlineStr">
        <is>
          <t>CS-1</t>
        </is>
      </c>
      <c r="B8" s="34" t="inlineStr">
        <is>
          <t>Đổi size hoặc màu</t>
        </is>
      </c>
      <c r="C8" s="34" t="inlineStr">
        <is>
          <t>Trong 7 ngày kể từ ngày nhận hàng, hàng còn tem mác. Miễn phí đổi lần đầu.</t>
        </is>
      </c>
    </row>
    <row r="9" ht="33" customHeight="1" s="27">
      <c r="A9" s="35" t="inlineStr">
        <is>
          <t>CS-2</t>
        </is>
      </c>
      <c r="B9" s="34" t="inlineStr">
        <is>
          <t>Trả hàng, hoàn tiền</t>
        </is>
      </c>
      <c r="C9" s="34" t="inlineStr">
        <is>
          <t>Trong 7 ngày kể từ ngày nhận hàng. Tiền hoàn trong 3–5 ngày làm việc sau khi kho nhận lại hàng.</t>
        </is>
      </c>
    </row>
    <row r="10" ht="33" customHeight="1" s="27">
      <c r="A10" s="35" t="inlineStr">
        <is>
          <t>CS-3</t>
        </is>
      </c>
      <c r="B10" s="34" t="inlineStr">
        <is>
          <t>Hàng lỗi (bong keo, rách, sai mẫu)</t>
        </is>
      </c>
      <c r="C10" s="34" t="inlineStr">
        <is>
          <t>Trong 30 ngày kể từ ngày nhận hàng. Trợ lý chuyển nhân viên xử lý, không tự hứa đền bù.</t>
        </is>
      </c>
    </row>
    <row r="11" ht="33" customHeight="1" s="27">
      <c r="A11" s="35" t="inlineStr">
        <is>
          <t>CS-4</t>
        </is>
      </c>
      <c r="B11" s="34" t="inlineStr">
        <is>
          <t>Tra cứu trước khi hứa</t>
        </is>
      </c>
      <c r="C11" s="34" t="inlineStr">
        <is>
          <t>Trước khi xác nhận đổi, trả hay hoàn tiền: phải tra cứu đơn (ngày nhận, trạng thái).</t>
        </is>
      </c>
    </row>
    <row r="12" ht="18" customHeight="1" s="27">
      <c r="A12" s="35" t="inlineStr">
        <is>
          <t>CS-5</t>
        </is>
      </c>
      <c r="B12" s="34" t="inlineStr">
        <is>
          <t>Thiếu mã đơn</t>
        </is>
      </c>
      <c r="C12" s="34" t="inlineStr">
        <is>
          <t>Hỏi mã đơn hoặc số điện thoại đặt hàng. Không đoán đơn.</t>
        </is>
      </c>
    </row>
    <row r="13" ht="18" customHeight="1" s="27">
      <c r="A13" s="35" t="inlineStr">
        <is>
          <t>CS-6</t>
        </is>
      </c>
      <c r="B13" s="34" t="inlineStr">
        <is>
          <t>Khách muốn gặp người</t>
        </is>
      </c>
      <c r="C13" s="34" t="inlineStr">
        <is>
          <t>Khách yêu cầu gặp nhân viên, hoặc khiếu nại hàng lỗi: chuyển nhân viên.</t>
        </is>
      </c>
    </row>
    <row r="15" ht="18" customHeight="1" s="27">
      <c r="A15" s="30" t="inlineStr">
        <is>
          <t>4 nhãn ý định (giống trang 16): Đổi hàng · Trả hàng · Tra cứu đơn · Cần làm rõ</t>
        </is>
      </c>
    </row>
    <row r="16" ht="18" customHeight="1" s="27">
      <c r="A16" s="31" t="inlineStr">
        <is>
          <t>Tin khiếu nại hàng lỗi gắn nhãn Trả hàng kèm cờ "hàng lỗi: có". Tin không rõ đơn nào hoặc không rõ muốn gì gắn nhãn Cần làm rõ.</t>
        </is>
      </c>
    </row>
    <row r="18" ht="15" customHeight="1" s="27">
      <c r="A18" s="32" t="inlineStr">
        <is>
          <t>Công cụ trợ lý gọi được</t>
        </is>
      </c>
    </row>
    <row r="19" ht="18" customHeight="1" s="27">
      <c r="A19" s="33" t="n"/>
      <c r="B19" s="33" t="inlineStr">
        <is>
          <t>Công cụ</t>
        </is>
      </c>
      <c r="C19" s="33" t="inlineStr">
        <is>
          <t>Làm gì</t>
        </is>
      </c>
    </row>
    <row r="20" ht="18" customHeight="1" s="27">
      <c r="A20" s="34" t="inlineStr">
        <is>
          <t>1</t>
        </is>
      </c>
      <c r="B20" s="35" t="inlineStr">
        <is>
          <t>tra_cuu_don</t>
        </is>
      </c>
      <c r="C20" s="34" t="inlineStr">
        <is>
          <t>tra đơn theo mã đơn hoặc số điện thoại; trả về ngày nhận hàng và trạng thái</t>
        </is>
      </c>
    </row>
    <row r="21" ht="18" customHeight="1" s="27">
      <c r="A21" s="34" t="inlineStr">
        <is>
          <t>2</t>
        </is>
      </c>
      <c r="B21" s="35" t="inlineStr">
        <is>
          <t>tao_yeu_cau_doi_tra</t>
        </is>
      </c>
      <c r="C21" s="34" t="inlineStr">
        <is>
          <t>tạo yêu cầu đổi hoặc trả cho một mã đơn</t>
        </is>
      </c>
    </row>
    <row r="22" ht="18" customHeight="1" s="27">
      <c r="A22" s="34" t="inlineStr">
        <is>
          <t>3</t>
        </is>
      </c>
      <c r="B22" s="35" t="inlineStr">
        <is>
          <t>chuyen_nhan_vien</t>
        </is>
      </c>
      <c r="C22" s="34" t="inlineStr">
        <is>
          <t>chuyển cuộc trò chuyện cho nhân viên, kèm lý do</t>
        </is>
      </c>
    </row>
    <row r="23" ht="18" customHeight="1" s="27">
      <c r="A23" s="36" t="inlineStr">
        <is>
          <t>Chưa có công cụ tra tồn kho (dùng ở Bài 4).</t>
        </is>
      </c>
    </row>
    <row r="25" ht="15" customHeight="1" s="27">
      <c r="A25" s="32" t="inlineStr">
        <is>
          <t>Mã lỗi dùng ở Bài 3 và Xưởng (trang 35)</t>
        </is>
      </c>
    </row>
    <row r="26" ht="18" customHeight="1" s="27">
      <c r="A26" s="33" t="n"/>
      <c r="B26" s="33" t="inlineStr">
        <is>
          <t>Mã lỗi</t>
        </is>
      </c>
      <c r="C26" s="33" t="inlineStr">
        <is>
          <t>Nghĩa</t>
        </is>
      </c>
    </row>
    <row r="27" ht="18" customHeight="1" s="27">
      <c r="A27" s="34" t="inlineStr">
        <is>
          <t>1</t>
        </is>
      </c>
      <c r="B27" s="35" t="inlineStr">
        <is>
          <t>wrong_intent</t>
        </is>
      </c>
      <c r="C27" s="34" t="inlineStr">
        <is>
          <t>Hiểu sai nhu cầu chính của khách</t>
        </is>
      </c>
    </row>
    <row r="28" ht="18" customHeight="1" s="27">
      <c r="A28" s="34" t="inlineStr">
        <is>
          <t>2</t>
        </is>
      </c>
      <c r="B28" s="35" t="inlineStr">
        <is>
          <t>missing_lookup</t>
        </is>
      </c>
      <c r="C28" s="34" t="inlineStr">
        <is>
          <t>Không tra cứu dữ liệu trước khi trả lời</t>
        </is>
      </c>
    </row>
    <row r="29" ht="18" customHeight="1" s="27">
      <c r="A29" s="34" t="inlineStr">
        <is>
          <t>3</t>
        </is>
      </c>
      <c r="B29" s="35" t="inlineStr">
        <is>
          <t>premature_commit</t>
        </is>
      </c>
      <c r="C29" s="34" t="inlineStr">
        <is>
          <t>Hứa kết quả khi chưa đủ điều kiện</t>
        </is>
      </c>
    </row>
    <row r="30" ht="18" customHeight="1" s="27">
      <c r="A30" s="34" t="inlineStr">
        <is>
          <t>4</t>
        </is>
      </c>
      <c r="B30" s="35" t="inlineStr">
        <is>
          <t>missing_escalation</t>
        </is>
      </c>
      <c r="C30" s="34" t="inlineStr">
        <is>
          <t>Không chuyển nhân viên khi vượt thẩm quyền</t>
        </is>
      </c>
    </row>
    <row r="31" ht="18" customHeight="1" s="27">
      <c r="A31" s="34" t="inlineStr">
        <is>
          <t>5</t>
        </is>
      </c>
      <c r="B31" s="35" t="inlineStr">
        <is>
          <t>no_next_step</t>
        </is>
      </c>
      <c r="C31" s="34" t="inlineStr">
        <is>
          <t>Đúng chính sách nhưng thiếu bước tiếp theo</t>
        </is>
      </c>
    </row>
    <row r="33" ht="15" customHeight="1" s="27">
      <c r="A33" s="32" t="inlineStr">
        <is>
          <t>Bảng đối chiếu từ ngữ: slide của chị Mai Anh ↔ bài tập</t>
        </is>
      </c>
    </row>
    <row r="34" ht="18" customHeight="1" s="27">
      <c r="A34" s="33" t="n"/>
      <c r="B34" s="33" t="inlineStr">
        <is>
          <t>Trên slide</t>
        </is>
      </c>
      <c r="C34" s="33" t="inlineStr">
        <is>
          <t>Trong bài tập</t>
        </is>
      </c>
    </row>
    <row r="35" ht="18" customHeight="1" s="27">
      <c r="A35" s="34" t="inlineStr">
        <is>
          <t>1</t>
        </is>
      </c>
      <c r="B35" s="34" t="inlineStr">
        <is>
          <t>eval, evals</t>
        </is>
      </c>
      <c r="C35" s="34" t="inlineStr">
        <is>
          <t>bài đánh giá</t>
        </is>
      </c>
    </row>
    <row r="36" ht="18" customHeight="1" s="27">
      <c r="A36" s="34" t="inlineStr">
        <is>
          <t>2</t>
        </is>
      </c>
      <c r="B36" s="34" t="inlineStr">
        <is>
          <t>reference dataset, dataset</t>
        </is>
      </c>
      <c r="C36" s="34" t="inlineStr">
        <is>
          <t>bộ đề chuẩn, bộ đề</t>
        </is>
      </c>
    </row>
    <row r="37" ht="18" customHeight="1" s="27">
      <c r="A37" s="34" t="inlineStr">
        <is>
          <t>3</t>
        </is>
      </c>
      <c r="B37" s="34" t="inlineStr">
        <is>
          <t>golden outputs</t>
        </is>
      </c>
      <c r="C37" s="34" t="inlineStr">
        <is>
          <t>đáp án mẫu</t>
        </is>
      </c>
    </row>
    <row r="38" ht="18" customHeight="1" s="27">
      <c r="A38" s="34" t="inlineStr">
        <is>
          <t>4</t>
        </is>
      </c>
      <c r="B38" s="34" t="inlineStr">
        <is>
          <t>baseline · candidate</t>
        </is>
      </c>
      <c r="C38" s="34" t="inlineStr">
        <is>
          <t>bản đang chạy · bản mới</t>
        </is>
      </c>
    </row>
    <row r="39" ht="18" customHeight="1" s="27">
      <c r="A39" s="34" t="inlineStr">
        <is>
          <t>5</t>
        </is>
      </c>
      <c r="B39" s="34" t="inlineStr">
        <is>
          <t>pass rate</t>
        </is>
      </c>
      <c r="C39" s="34" t="inlineStr">
        <is>
          <t>tỷ lệ đạt</t>
        </is>
      </c>
    </row>
    <row r="40" ht="18" customHeight="1" s="27">
      <c r="A40" s="34" t="inlineStr">
        <is>
          <t>6</t>
        </is>
      </c>
      <c r="B40" s="34" t="inlineStr">
        <is>
          <t>quality gate, threshold</t>
        </is>
      </c>
      <c r="C40" s="34" t="inlineStr">
        <is>
          <t>cổng chất lượng, ngưỡng</t>
        </is>
      </c>
    </row>
    <row r="41" ht="18" customHeight="1" s="27">
      <c r="A41" s="34" t="inlineStr">
        <is>
          <t>7</t>
        </is>
      </c>
      <c r="B41" s="34" t="inlineStr">
        <is>
          <t>regression</t>
        </is>
      </c>
      <c r="C41" s="34" t="inlineStr">
        <is>
          <t>hồi quy: ca trước đạt, nay trượt</t>
        </is>
      </c>
    </row>
    <row r="42" ht="18" customHeight="1" s="27">
      <c r="A42" s="34" t="inlineStr">
        <is>
          <t>8</t>
        </is>
      </c>
      <c r="B42" s="34" t="inlineStr">
        <is>
          <t>slice</t>
        </is>
      </c>
      <c r="C42" s="34" t="inlineStr">
        <is>
          <t>nhóm (cắt theo một thuộc tính)</t>
        </is>
      </c>
    </row>
    <row r="43" ht="18" customHeight="1" s="27">
      <c r="A43" s="34" t="inlineStr">
        <is>
          <t>9</t>
        </is>
      </c>
      <c r="B43" s="34" t="inlineStr">
        <is>
          <t>unit of AI work</t>
        </is>
      </c>
      <c r="C43" s="34" t="inlineStr">
        <is>
          <t>đơn vị công việc AI</t>
        </is>
      </c>
    </row>
    <row r="44" ht="18" customHeight="1" s="27">
      <c r="A44" s="34" t="inlineStr">
        <is>
          <t>10</t>
        </is>
      </c>
      <c r="B44" s="34" t="inlineStr">
        <is>
          <t>dimension</t>
        </is>
      </c>
      <c r="C44" s="34" t="inlineStr">
        <is>
          <t>chiều</t>
        </is>
      </c>
    </row>
    <row r="45" ht="18" customHeight="1" s="27">
      <c r="A45" s="34" t="inlineStr">
        <is>
          <t>11</t>
        </is>
      </c>
      <c r="B45" s="34" t="inlineStr">
        <is>
          <t>User Input Grid</t>
        </is>
      </c>
      <c r="C45" s="34" t="inlineStr">
        <is>
          <t>lưới đầu vào</t>
        </is>
      </c>
    </row>
    <row r="46" ht="33" customHeight="1" s="27">
      <c r="A46" s="34" t="inlineStr">
        <is>
          <t>12</t>
        </is>
      </c>
      <c r="B46" s="34" t="inlineStr">
        <is>
          <t>representative · challenge · critical regression</t>
        </is>
      </c>
      <c r="C46" s="34" t="inlineStr">
        <is>
          <t>đại diện · thử thách · hồi quy nghiêm trọng</t>
        </is>
      </c>
    </row>
    <row r="47" ht="18" customHeight="1" s="27">
      <c r="A47" s="34" t="inlineStr">
        <is>
          <t>13</t>
        </is>
      </c>
      <c r="B47" s="34" t="inlineStr">
        <is>
          <t>trace · transcript</t>
        </is>
      </c>
      <c r="C47" s="34" t="inlineStr">
        <is>
          <t>vết thực thi · lời trợ lý nói</t>
        </is>
      </c>
    </row>
    <row r="48" ht="18" customHeight="1" s="27">
      <c r="A48" s="34" t="inlineStr">
        <is>
          <t>14</t>
        </is>
      </c>
      <c r="B48" s="34" t="inlineStr">
        <is>
          <t>trace codes</t>
        </is>
      </c>
      <c r="C48" s="34" t="inlineStr">
        <is>
          <t>mã lỗi (giữ nguyên tên như trang 35)</t>
        </is>
      </c>
    </row>
    <row r="49" ht="33" customHeight="1" s="27">
      <c r="A49" s="34" t="inlineStr">
        <is>
          <t>15</t>
        </is>
      </c>
      <c r="B49" s="34" t="inlineStr">
        <is>
          <t>specification gap · architectural issue · generalization gap</t>
        </is>
      </c>
      <c r="C49" s="34" t="inlineStr">
        <is>
          <t>thiếu đặc tả · thiếu năng lực hệ thống · thiếu nhất quán</t>
        </is>
      </c>
    </row>
    <row r="50" ht="18" customHeight="1" s="27">
      <c r="A50" s="34" t="inlineStr">
        <is>
          <t>16</t>
        </is>
      </c>
      <c r="B50" s="34" t="inlineStr">
        <is>
          <t>code-based eval</t>
        </is>
      </c>
      <c r="C50" s="34" t="inlineStr">
        <is>
          <t>chấm bằng mã lệnh</t>
        </is>
      </c>
    </row>
    <row r="51" ht="18" customHeight="1" s="27">
      <c r="A51" s="34" t="inlineStr">
        <is>
          <t>17</t>
        </is>
      </c>
      <c r="B51" s="34" t="inlineStr">
        <is>
          <t>LLM judge, LLM-as-judge</t>
        </is>
      </c>
      <c r="C51" s="34" t="inlineStr">
        <is>
          <t>giám khảo AI</t>
        </is>
      </c>
    </row>
    <row r="52" ht="18" customHeight="1" s="27">
      <c r="A52" s="34" t="inlineStr">
        <is>
          <t>18</t>
        </is>
      </c>
      <c r="B52" s="34" t="inlineStr">
        <is>
          <t>referent</t>
        </is>
      </c>
      <c r="C52" s="34" t="inlineStr">
        <is>
          <t>căn cứ kiểm chứng</t>
        </is>
      </c>
    </row>
    <row r="53" ht="18" customHeight="1" s="27">
      <c r="A53" s="34" t="inlineStr">
        <is>
          <t>19</t>
        </is>
      </c>
      <c r="B53" s="34" t="inlineStr">
        <is>
          <t>calibration</t>
        </is>
      </c>
      <c r="C53" s="34" t="inlineStr">
        <is>
          <t>hiệu chỉnh</t>
        </is>
      </c>
    </row>
    <row r="54" ht="18" customHeight="1" s="27">
      <c r="A54" s="34" t="inlineStr">
        <is>
          <t>20</t>
        </is>
      </c>
      <c r="B54" s="34" t="inlineStr">
        <is>
          <t>TPR</t>
        </is>
      </c>
      <c r="C54" s="34" t="inlineStr">
        <is>
          <t>tỷ lệ nhận đúng ca đạt</t>
        </is>
      </c>
    </row>
    <row r="55" ht="18" customHeight="1" s="27">
      <c r="A55" s="34" t="inlineStr">
        <is>
          <t>21</t>
        </is>
      </c>
      <c r="B55" s="34" t="inlineStr">
        <is>
          <t>TNR</t>
        </is>
      </c>
      <c r="C55" s="34" t="inlineStr">
        <is>
          <t>tỷ lệ bắt đúng ca trượt</t>
        </is>
      </c>
    </row>
    <row r="56" ht="18" customHeight="1" s="27">
      <c r="A56" s="34" t="inlineStr">
        <is>
          <t>22</t>
        </is>
      </c>
      <c r="B56" s="34" t="inlineStr">
        <is>
          <t>near-miss example</t>
        </is>
      </c>
      <c r="C56" s="34" t="inlineStr">
        <is>
          <t>ví dụ sát ranh</t>
        </is>
      </c>
    </row>
    <row r="57" ht="18" customHeight="1" s="27">
      <c r="A57" s="34" t="inlineStr">
        <is>
          <t>23</t>
        </is>
      </c>
      <c r="B57" s="34" t="inlineStr">
        <is>
          <t>dev set · test set</t>
        </is>
      </c>
      <c r="C57" s="34" t="inlineStr">
        <is>
          <t>tập hiệu chỉnh · tập kiểm tra giữ riêng</t>
        </is>
      </c>
    </row>
    <row r="58" ht="18" customHeight="1" s="27">
      <c r="A58" s="34" t="inlineStr">
        <is>
          <t>24</t>
        </is>
      </c>
      <c r="B58" s="34" t="inlineStr">
        <is>
          <t>Ship · Iterate · Revert</t>
        </is>
      </c>
      <c r="C58" s="34" t="inlineStr">
        <is>
          <t>Phát hành · Lặp tiếp · Quay về bản cũ</t>
        </is>
      </c>
    </row>
    <row r="59" ht="18" customHeight="1" s="27">
      <c r="A59" s="34" t="inlineStr">
        <is>
          <t>25</t>
        </is>
      </c>
      <c r="B59" s="34" t="inlineStr">
        <is>
          <t>prompt · tool call · latency</t>
        </is>
      </c>
      <c r="C59" s="34" t="inlineStr">
        <is>
          <t>câu lệnh · lời gọi công cụ · thời gian phản hồi</t>
        </is>
      </c>
    </row>
    <row r="60" ht="18" customHeight="1" s="27">
      <c r="A60" s="34" t="inlineStr">
        <is>
          <t>26</t>
        </is>
      </c>
      <c r="B60" s="34" t="inlineStr">
        <is>
          <t>expert in the loop</t>
        </is>
      </c>
      <c r="C60" s="34" t="inlineStr">
        <is>
          <t>đưa chuyên gia vào vòng lặp</t>
        </is>
      </c>
    </row>
  </sheetData>
  <sheetProtection selectLockedCells="0" selectUnlockedCells="0" sheet="1" objects="0" insertRows="1" insertHyperlinks="1" autoFilter="1" scenarios="0" formatColumns="1" deleteColumns="1" insertColumns="1" pivotTables="1" deleteRows="1" formatCells="1" formatRows="1" sort="1" password="c716"/>
  <mergeCells count="6">
    <mergeCell ref="A23:C23"/>
    <mergeCell ref="A2:C2"/>
    <mergeCell ref="A3:C3"/>
    <mergeCell ref="A15:C15"/>
    <mergeCell ref="A4:C4"/>
    <mergeCell ref="A16:C16"/>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E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26" min="1" max="1"/>
    <col width="70" customWidth="1" style="26" min="2" max="2"/>
    <col width="22" customWidth="1" style="26" min="3" max="3"/>
    <col width="14" customWidth="1" style="26" min="4" max="4"/>
    <col width="13" customWidth="1" style="26" min="5" max="5"/>
  </cols>
  <sheetData>
    <row r="1" ht="17.35" customHeight="1" s="27">
      <c r="A1" s="28" t="inlineStr">
        <is>
          <t>Bài 1 · Đọc báo cáo đánh giá và thu hẹp phạm vi (10 phút) · sau Phần 01 · trang 13–23</t>
        </is>
      </c>
    </row>
    <row r="2" ht="18" customHeight="1" s="27">
      <c r="A2" s="29" t="inlineStr">
        <is>
          <t>Làm cá nhân, không tính điểm. Điền ô vàng ở cột C; cột D tự báo kết quả.</t>
        </is>
      </c>
    </row>
    <row r="4" ht="18" customHeight="1" s="27">
      <c r="A4" s="31" t="inlineStr">
        <is>
          <t>Nhóm vừa đổi câu lệnh của trợ lý Mộc (v1.3 → v1.4) và chạy lại trên bộ đề chuẩn 50 tin nhắn đã có nhãn đúng.</t>
        </is>
      </c>
    </row>
    <row r="5" ht="18" customHeight="1" s="27">
      <c r="A5" s="31" t="inlineStr">
        <is>
          <t>Cổng chất lượng chốt trước khi chạy: tỷ lệ đúng tổng từ 82% trở lên.</t>
        </is>
      </c>
    </row>
    <row r="6" ht="18" customHeight="1" s="27">
      <c r="A6" s="31" t="inlineStr">
        <is>
          <t>Có 3 tin "hồi quy" (v1.3 đúng, v1.4 sai), cả 3 nằm ở nhóm Tra cứu đơn.</t>
        </is>
      </c>
    </row>
    <row r="8" ht="33" customHeight="1" s="27">
      <c r="A8" s="33" t="inlineStr">
        <is>
          <t>Nhóm ý định</t>
        </is>
      </c>
      <c r="B8" s="37" t="n"/>
      <c r="C8" s="33" t="inlineStr">
        <is>
          <t>Số tin trong bộ đề</t>
        </is>
      </c>
      <c r="D8" s="33" t="inlineStr">
        <is>
          <t>v1.3 đúng (bản đang chạy)</t>
        </is>
      </c>
      <c r="E8" s="33" t="inlineStr">
        <is>
          <t>v1.4 đúng (bản mới)</t>
        </is>
      </c>
    </row>
    <row r="9" ht="18" customHeight="1" s="27">
      <c r="A9" s="34" t="inlineStr">
        <is>
          <t>Đổi hàng</t>
        </is>
      </c>
      <c r="B9" s="37" t="n"/>
      <c r="C9" s="34" t="n">
        <v>20</v>
      </c>
      <c r="D9" s="34" t="n">
        <v>16</v>
      </c>
      <c r="E9" s="34" t="n">
        <v>19</v>
      </c>
    </row>
    <row r="10" ht="18" customHeight="1" s="27">
      <c r="A10" s="34" t="inlineStr">
        <is>
          <t>Trả hàng</t>
        </is>
      </c>
      <c r="B10" s="37" t="n"/>
      <c r="C10" s="34" t="n">
        <v>20</v>
      </c>
      <c r="D10" s="34" t="n">
        <v>15</v>
      </c>
      <c r="E10" s="34" t="n">
        <v>17</v>
      </c>
    </row>
    <row r="11" ht="18" customHeight="1" s="27">
      <c r="A11" s="34" t="inlineStr">
        <is>
          <t>Tra cứu đơn</t>
        </is>
      </c>
      <c r="B11" s="37" t="n"/>
      <c r="C11" s="34" t="n">
        <v>10</v>
      </c>
      <c r="D11" s="34" t="n">
        <v>9</v>
      </c>
      <c r="E11" s="34" t="n">
        <v>6</v>
      </c>
    </row>
    <row r="12" ht="18" customHeight="1" s="27">
      <c r="A12" s="35" t="inlineStr">
        <is>
          <t>Tổng</t>
        </is>
      </c>
      <c r="B12" s="37" t="n"/>
      <c r="C12" s="35" t="n">
        <v>50</v>
      </c>
      <c r="D12" s="35" t="n">
        <v>40</v>
      </c>
      <c r="E12" s="35" t="n">
        <v>42</v>
      </c>
    </row>
    <row r="14" ht="33" customHeight="1" s="27">
      <c r="A14" s="31" t="inlineStr">
        <is>
          <t>Câu 1.6: A. Phát hành ngay: tổng tăng 4 điểm và đã qua cổng.  ·  B. Chưa phát hành: mở đọc 3 tin hồi quy ở nhóm Tra cứu đơn, hiểu vì sao sai rồi mới quyết định.  ·  C. Quay về v1.3: tổng chỉ tăng 2 tin, chắc chắn là nhiễu.</t>
        </is>
      </c>
    </row>
    <row r="15" ht="33" customHeight="1" s="27">
      <c r="A15" s="31" t="inlineStr">
        <is>
          <t>Câu 1.8: A. Làm khách hài lòng hơn mỗi khi đổi trả.  ·  B. Đọc 1 tin nhắn đổi trả → gắn đúng 1 trong 4 nhãn ý định, dưới 2 giây.  ·  C. Trả lời mọi câu hỏi của khách về đơn hàng và chính sách.</t>
        </is>
      </c>
    </row>
    <row r="16" ht="18" customHeight="1" s="27">
      <c r="A16" s="31" t="inlineStr">
        <is>
          <t>Câu 1.9: Trục 1. Tách theo việc  ·  Trục 2. Tách theo điều kiện đầu vào  ·  Trục 3. Tách theo mức tự chủ</t>
        </is>
      </c>
    </row>
    <row r="18" ht="18" customHeight="1" s="27">
      <c r="A18" s="33" t="inlineStr">
        <is>
          <t>Câu</t>
        </is>
      </c>
      <c r="B18" s="33" t="inlineStr">
        <is>
          <t>Đề</t>
        </is>
      </c>
      <c r="C18" s="33" t="inlineStr">
        <is>
          <t>Trả lời</t>
        </is>
      </c>
      <c r="D18" s="33" t="inlineStr">
        <is>
          <t>Kiểm tra</t>
        </is>
      </c>
      <c r="E18" s="33" t="inlineStr">
        <is>
          <t>Trang</t>
        </is>
      </c>
    </row>
    <row r="19" ht="33" customHeight="1" s="27">
      <c r="A19" s="35" t="inlineStr">
        <is>
          <t>1.1</t>
        </is>
      </c>
      <c r="B19" s="34" t="inlineStr">
        <is>
          <t>Trên bộ 50 tin, 1 tin đổi kết quả làm tỷ lệ đúng thay đổi bao nhiêu điểm phần trăm? (gõ một số)</t>
        </is>
      </c>
      <c r="C19" s="38" t="n">
        <v>2</v>
      </c>
      <c r="D19" s="39">
        <f>IF(C19="","",IF(ISNUMBER(C19),IF(ABS(C19-2)&lt;=0.01,"Đúng","Chưa đúng"),"Gõ một số"))</f>
        <v/>
      </c>
      <c r="E19" s="34" t="inlineStr">
        <is>
          <t>18</t>
        </is>
      </c>
    </row>
    <row r="20" ht="18" customHeight="1" s="27">
      <c r="A20" s="35" t="inlineStr">
        <is>
          <t>1.2</t>
        </is>
      </c>
      <c r="B20" s="34" t="inlineStr">
        <is>
          <t>Tỷ lệ đúng tổng của v1.4 là bao nhiêu? (gõ kèm %)</t>
        </is>
      </c>
      <c r="C20" s="40" t="n">
        <v>0.84</v>
      </c>
      <c r="D20" s="39">
        <f>IF(C20="","",IF(ISNUMBER(C20),IF(OR(ABS(C20-0.84)&lt;=0.006,ABS(C20-84)&lt;=0.6),"Đúng","Chưa đúng"),"Gõ một số"))</f>
        <v/>
      </c>
      <c r="E20" s="34" t="inlineStr">
        <is>
          <t>18</t>
        </is>
      </c>
    </row>
    <row r="21" ht="18" customHeight="1" s="27">
      <c r="A21" s="35" t="inlineStr">
        <is>
          <t>1.3</t>
        </is>
      </c>
      <c r="B21" s="34" t="inlineStr">
        <is>
          <t>v1.4 có qua cổng chất lượng (≥ 82%) không?  (chọn: Có / Không)</t>
        </is>
      </c>
      <c r="C21" s="41" t="inlineStr">
        <is>
          <t>Có</t>
        </is>
      </c>
      <c r="D21" s="39">
        <f>IF(C21="","",IF(C21="Có","Đúng","Chưa đúng"))</f>
        <v/>
      </c>
      <c r="E21" s="34" t="inlineStr">
        <is>
          <t>18</t>
        </is>
      </c>
    </row>
    <row r="22" ht="18" customHeight="1" s="27">
      <c r="A22" s="35" t="inlineStr">
        <is>
          <t>1.4</t>
        </is>
      </c>
      <c r="B22" s="34" t="inlineStr">
        <is>
          <t>Tỷ lệ đúng của nhóm Tra cứu đơn ở v1.4 là bao nhiêu? (gõ kèm %)</t>
        </is>
      </c>
      <c r="C22" s="40" t="n">
        <v>0.6</v>
      </c>
      <c r="D22" s="39">
        <f>IF(C22="","",IF(ISNUMBER(C22),IF(OR(ABS(C22-0.6)&lt;=0.006,ABS(C22-60)&lt;=0.6),"Đúng","Chưa đúng"),"Gõ một số"))</f>
        <v/>
      </c>
      <c r="E22" s="34" t="inlineStr">
        <is>
          <t>18</t>
        </is>
      </c>
    </row>
    <row r="23" ht="18" customHeight="1" s="27">
      <c r="A23" s="35" t="inlineStr">
        <is>
          <t>1.5</t>
        </is>
      </c>
      <c r="B23" s="34" t="inlineStr">
        <is>
          <t>Nhóm Tra cứu đơn tụt bao nhiêu điểm phần trăm? (gõ một số)</t>
        </is>
      </c>
      <c r="C23" s="38" t="n">
        <v>30</v>
      </c>
      <c r="D23" s="39">
        <f>IF(C23="","",IF(ISNUMBER(C23),IF(ABS(C23-30)&lt;=0.01,"Đúng","Chưa đúng"),"Gõ một số"))</f>
        <v/>
      </c>
      <c r="E23" s="34" t="inlineStr">
        <is>
          <t>18</t>
        </is>
      </c>
    </row>
    <row r="24" ht="18" customHeight="1" s="27">
      <c r="A24" s="35" t="inlineStr">
        <is>
          <t>1.6</t>
        </is>
      </c>
      <c r="B24" s="34" t="inlineStr">
        <is>
          <t>Kết luận nào đúng?</t>
        </is>
      </c>
      <c r="C24" s="41" t="inlineStr">
        <is>
          <t>B</t>
        </is>
      </c>
      <c r="D24" s="39">
        <f>IF(C24="","",IF(C24="B","Đúng","Chưa đúng"))</f>
        <v/>
      </c>
      <c r="E24" s="34" t="inlineStr">
        <is>
          <t>18</t>
        </is>
      </c>
    </row>
    <row r="25" ht="33" customHeight="1" s="27">
      <c r="A25" s="35" t="inlineStr">
        <is>
          <t>1.7</t>
        </is>
      </c>
      <c r="B25" s="34" t="inlineStr">
        <is>
          <t>Muốn tin một khoảng chênh 3 điểm phần trăm là thật (độ tin 95%), cần khoảng bao nhiêu ca?  (chọn: Khoảng 100 ca / Khoảng 1.000 ca / Khoảng 10.000 ca)</t>
        </is>
      </c>
      <c r="C25" s="41" t="inlineStr">
        <is>
          <t>Khoảng 1.000 ca</t>
        </is>
      </c>
      <c r="D25" s="39">
        <f>IF(C25="","",IF(C25="Khoảng 1.000 ca","Đúng","Chưa đúng"))</f>
        <v/>
      </c>
      <c r="E25" s="34" t="inlineStr">
        <is>
          <t>18</t>
        </is>
      </c>
    </row>
    <row r="26" ht="33" customHeight="1" s="27">
      <c r="A26" s="35" t="inlineStr">
        <is>
          <t>1.8</t>
        </is>
      </c>
      <c r="B26" s="34" t="inlineStr">
        <is>
          <t>Mục tiêu "Dùng AI để chăm sóc khách đổi trả tốt hơn" quá rộng. Câu nào là đơn vị công việc AI đo được?</t>
        </is>
      </c>
      <c r="C26" s="41" t="inlineStr">
        <is>
          <t>B</t>
        </is>
      </c>
      <c r="D26" s="39">
        <f>IF(C26="","",IF(C26="B","Đúng","Chưa đúng"))</f>
        <v/>
      </c>
      <c r="E26" s="34" t="inlineStr">
        <is>
          <t>23</t>
        </is>
      </c>
    </row>
    <row r="27" ht="33" customHeight="1" s="27">
      <c r="A27" s="35" t="inlineStr">
        <is>
          <t>1.9</t>
        </is>
      </c>
      <c r="B27" s="34" t="inlineStr">
        <is>
          <t>Tách "tin nhắn rõ ràng" và "tin nhắn mơ hồ" để đặt kỳ vọng khác nhau (tin mơ hồ thì hỏi lại) là thu hẹp theo trục nào?</t>
        </is>
      </c>
      <c r="C27" s="41" t="inlineStr">
        <is>
          <t>Trục 2</t>
        </is>
      </c>
      <c r="D27" s="39">
        <f>IF(C27="","",IF(C27="Trục 2","Đúng","Chưa đúng"))</f>
        <v/>
      </c>
      <c r="E27" s="34" t="inlineStr">
        <is>
          <t>23</t>
        </is>
      </c>
    </row>
    <row r="29" ht="18" customHeight="1" s="27">
      <c r="A29" s="35" t="inlineStr">
        <is>
          <t>Số câu đúng</t>
        </is>
      </c>
      <c r="B29" s="37" t="n"/>
      <c r="C29" s="42">
        <f>COUNTIF(D19:D27,"Đúng")</f>
        <v/>
      </c>
      <c r="D29" s="34" t="inlineStr">
        <is>
          <t>/ 9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13">
    <mergeCell ref="A4:E4"/>
    <mergeCell ref="A29:B29"/>
    <mergeCell ref="A2:E2"/>
    <mergeCell ref="A16:E16"/>
    <mergeCell ref="A15:E15"/>
    <mergeCell ref="A11:B11"/>
    <mergeCell ref="A10:B10"/>
    <mergeCell ref="A5:E5"/>
    <mergeCell ref="A14:E14"/>
    <mergeCell ref="A9:B9"/>
    <mergeCell ref="A6:E6"/>
    <mergeCell ref="A8:B8"/>
    <mergeCell ref="A12:B12"/>
  </mergeCells>
  <dataValidations count="5">
    <dataValidation sqref="C21" showDropDown="0" showInputMessage="0" showErrorMessage="0" allowBlank="1" type="list" errorStyle="stop" operator="between">
      <formula1>_ds!$A$1:$A$2</formula1>
      <formula2>0</formula2>
    </dataValidation>
    <dataValidation sqref="C24" showDropDown="0" showInputMessage="0" showErrorMessage="0" allowBlank="1" type="list" errorStyle="stop" operator="between">
      <formula1>_ds!$B$1:$B$3</formula1>
      <formula2>0</formula2>
    </dataValidation>
    <dataValidation sqref="C25" showDropDown="0" showInputMessage="0" showErrorMessage="0" allowBlank="1" type="list" errorStyle="stop" operator="between">
      <formula1>_ds!$C$1:$C$3</formula1>
      <formula2>0</formula2>
    </dataValidation>
    <dataValidation sqref="C26" showDropDown="0" showInputMessage="0" showErrorMessage="0" allowBlank="1" type="list" errorStyle="stop" operator="between">
      <formula1>_ds!$B$1:$B$3</formula1>
      <formula2>0</formula2>
    </dataValidation>
    <dataValidation sqref="C27" showDropDown="0" showInputMessage="0" showErrorMessage="0" allowBlank="1" type="list" errorStyle="stop" operator="between">
      <formula1>_ds!$D$1:$D$3</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E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26" min="1" max="1"/>
    <col width="70" customWidth="1" style="26" min="2" max="2"/>
    <col width="22" customWidth="1" style="26" min="3" max="3"/>
    <col width="14" customWidth="1" style="26" min="4" max="4"/>
    <col width="13" customWidth="1" style="26" min="5" max="5"/>
  </cols>
  <sheetData>
    <row r="1" ht="17.35" customHeight="1" s="27">
      <c r="A1" s="28" t="inlineStr">
        <is>
          <t>Bài 2 · Phủ ca và chọn tình huống (12 phút) · sau Phần 02 · trang 24–30</t>
        </is>
      </c>
    </row>
    <row r="2" ht="18" customHeight="1" s="27">
      <c r="A2" s="29" t="inlineStr">
        <is>
          <t>Làm cá nhân, không tính điểm. Điền ô vàng ở cột C; cột D tự báo kết quả.</t>
        </is>
      </c>
    </row>
    <row r="4" ht="18" customHeight="1" s="27">
      <c r="A4" s="31" t="inlineStr">
        <is>
          <t>Phép thử chiều (trang 26): đổi giá trị của một thuộc tính trong tin nhắn → hành vi đúng của trợ lý có đổi không?</t>
        </is>
      </c>
    </row>
    <row r="5" ht="18" customHeight="1" s="27">
      <c r="A5" s="31" t="inlineStr">
        <is>
          <t>Có đổi → là một chiều của lưới. Không đổi → chỉ là cách diễn đạt, để AI viết lại, không tốn một chiều.</t>
        </is>
      </c>
    </row>
    <row r="7" ht="33" customHeight="1" s="27">
      <c r="A7" s="31" t="inlineStr">
        <is>
          <t>Câu 2.14: A. Nhờ AI tạo 50 câu kiểm thử là đủ phủ.  ·  B. Người chọn ô cần thử trên lưới; AI chỉ viết thêm cách diễn đạt cho từng ô.  ·  C. Càng nhiều dòng thì bộ đề càng phủ tốt.</t>
        </is>
      </c>
    </row>
    <row r="9" ht="18" customHeight="1" s="27">
      <c r="A9" s="33" t="inlineStr">
        <is>
          <t>Câu</t>
        </is>
      </c>
      <c r="B9" s="33" t="inlineStr">
        <is>
          <t>Đề</t>
        </is>
      </c>
      <c r="C9" s="33" t="inlineStr">
        <is>
          <t>Trả lời</t>
        </is>
      </c>
      <c r="D9" s="33" t="inlineStr">
        <is>
          <t>Kiểm tra</t>
        </is>
      </c>
      <c r="E9" s="33" t="inlineStr">
        <is>
          <t>Trang</t>
        </is>
      </c>
    </row>
    <row r="10" ht="18" customHeight="1" s="27">
      <c r="A10" s="35" t="inlineStr">
        <is>
          <t>2.1</t>
        </is>
      </c>
      <c r="B10" s="34" t="inlineStr">
        <is>
          <t>Khách viết có dấu hay không dấu. Đây có phải một chiều?  (chọn: Có / Không)</t>
        </is>
      </c>
      <c r="C10" s="41" t="inlineStr">
        <is>
          <t>Không</t>
        </is>
      </c>
      <c r="D10" s="39">
        <f>IF(C10="","",IF(C10="Không","Đúng","Chưa đúng"))</f>
        <v/>
      </c>
      <c r="E10" s="34" t="inlineStr">
        <is>
          <t>26</t>
        </is>
      </c>
    </row>
    <row r="11" ht="33" customHeight="1" s="27">
      <c r="A11" s="35" t="inlineStr">
        <is>
          <t>2.2</t>
        </is>
      </c>
      <c r="B11" s="34" t="inlineStr">
        <is>
          <t>Tin nhắn có mã đơn hay không có mã đơn. Đây có phải một chiều?  (chọn: Có / Không)</t>
        </is>
      </c>
      <c r="C11" s="41" t="inlineStr">
        <is>
          <t>Có</t>
        </is>
      </c>
      <c r="D11" s="39">
        <f>IF(C11="","",IF(C11="Có","Đúng","Chưa đúng"))</f>
        <v/>
      </c>
      <c r="E11" s="34" t="inlineStr">
        <is>
          <t>26</t>
        </is>
      </c>
    </row>
    <row r="12" ht="18" customHeight="1" s="27">
      <c r="A12" s="35" t="inlineStr">
        <is>
          <t>2.3</t>
        </is>
      </c>
      <c r="B12" s="34" t="inlineStr">
        <is>
          <t>Khách nói lịch sự hay cộc lốc. Đây có phải một chiều?  (chọn: Có / Không)</t>
        </is>
      </c>
      <c r="C12" s="41" t="inlineStr">
        <is>
          <t>Không</t>
        </is>
      </c>
      <c r="D12" s="39">
        <f>IF(C12="","",IF(C12="Không","Đúng","Chưa đúng"))</f>
        <v/>
      </c>
      <c r="E12" s="34" t="inlineStr">
        <is>
          <t>26</t>
        </is>
      </c>
    </row>
    <row r="13" ht="33" customHeight="1" s="27">
      <c r="A13" s="35" t="inlineStr">
        <is>
          <t>2.4</t>
        </is>
      </c>
      <c r="B13" s="34" t="inlineStr">
        <is>
          <t>Đơn còn trong 7 ngày, đã quá 7 ngày, hay là hàng lỗi trong 30 ngày. Đây có phải một chiều?  (chọn: Có / Không)</t>
        </is>
      </c>
      <c r="C13" s="41" t="inlineStr">
        <is>
          <t>Có</t>
        </is>
      </c>
      <c r="D13" s="39">
        <f>IF(C13="","",IF(C13="Có","Đúng","Chưa đúng"))</f>
        <v/>
      </c>
      <c r="E13" s="34" t="inlineStr">
        <is>
          <t>26</t>
        </is>
      </c>
    </row>
    <row r="14" ht="33" customHeight="1" s="27">
      <c r="A14" s="35" t="inlineStr">
        <is>
          <t>2.5</t>
        </is>
      </c>
      <c r="B14" s="34" t="inlineStr">
        <is>
          <t>Tin nhắn có 1 ý hay 2 ý (một đơn muốn đổi, một đơn muốn trả). Đây có phải một chiều?  (chọn: Có / Không)</t>
        </is>
      </c>
      <c r="C14" s="41" t="inlineStr">
        <is>
          <t>Có</t>
        </is>
      </c>
      <c r="D14" s="39">
        <f>IF(C14="","",IF(C14="Có","Đúng","Chưa đúng"))</f>
        <v/>
      </c>
      <c r="E14" s="34" t="inlineStr">
        <is>
          <t>26</t>
        </is>
      </c>
    </row>
    <row r="15" ht="33" customHeight="1" s="27">
      <c r="A15" s="35" t="inlineStr">
        <is>
          <t>2.6</t>
        </is>
      </c>
      <c r="B15" s="34" t="inlineStr">
        <is>
          <t>Tin nhắn dài hay ngắn (cùng nội dung). Đây có phải một chiều?  (chọn: Có / Không)</t>
        </is>
      </c>
      <c r="C15" s="41" t="inlineStr">
        <is>
          <t>Không</t>
        </is>
      </c>
      <c r="D15" s="39">
        <f>IF(C15="","",IF(C15="Không","Đúng","Chưa đúng"))</f>
        <v/>
      </c>
      <c r="E15" s="34" t="inlineStr">
        <is>
          <t>26</t>
        </is>
      </c>
    </row>
    <row r="16" ht="48" customHeight="1" s="27">
      <c r="A16" s="35" t="inlineStr">
        <is>
          <t>2.7</t>
        </is>
      </c>
      <c r="B16" s="34" t="inlineStr">
        <is>
          <t>Nhóm chọn 3 chiều: Ý định (4 giá trị) × Độ đủ thông tin (3 giá trị: đủ, thiếu mã đơn, mơ hồ) × Tình trạng đơn (3 giá trị: trong hạn, quá hạn, hàng lỗi). Có bao nhiêu tổ hợp?</t>
        </is>
      </c>
      <c r="C16" s="38" t="n">
        <v>36</v>
      </c>
      <c r="D16" s="39">
        <f>IF(C16="","",IF(ISNUMBER(C16),IF(ABS(C16-36)&lt;=0.01,"Đúng","Chưa đúng"),"Gõ một số"))</f>
        <v/>
      </c>
      <c r="E16" s="34" t="inlineStr">
        <is>
          <t>29</t>
        </is>
      </c>
    </row>
    <row r="17" ht="18" customHeight="1" s="27">
      <c r="A17" s="35" t="inlineStr">
        <is>
          <t>2.8</t>
        </is>
      </c>
      <c r="B17" s="34" t="inlineStr">
        <is>
          <t>Nhóm loại 12 tổ hợp phi lý. Còn lại bao nhiêu tổ hợp?</t>
        </is>
      </c>
      <c r="C17" s="38" t="n">
        <v>24</v>
      </c>
      <c r="D17" s="39">
        <f>IF(C17="","",IF(ISNUMBER(C17),IF(ABS(C17-24)&lt;=0.01,"Đúng","Chưa đúng"),"Gõ một số"))</f>
        <v/>
      </c>
      <c r="E17" s="34" t="inlineStr">
        <is>
          <t>29</t>
        </is>
      </c>
    </row>
    <row r="18" ht="33" customHeight="1" s="27">
      <c r="A18" s="35" t="inlineStr">
        <is>
          <t>2.9</t>
        </is>
      </c>
      <c r="B18" s="34" t="inlineStr">
        <is>
          <t>Từ 24 tổ hợp, nhóm chọn 16 tình huống đáng thử; mỗi tình huống viết 3 cách diễn đạt. Bộ đề có bao nhiêu đầu vào?</t>
        </is>
      </c>
      <c r="C18" s="38" t="n">
        <v>48</v>
      </c>
      <c r="D18" s="39">
        <f>IF(C18="","",IF(ISNUMBER(C18),IF(ABS(C18-48)&lt;=0.01,"Đúng","Chưa đúng"),"Gõ một số"))</f>
        <v/>
      </c>
      <c r="E18" s="34" t="inlineStr">
        <is>
          <t>29</t>
        </is>
      </c>
    </row>
    <row r="19" ht="33" customHeight="1" s="27">
      <c r="A19" s="35" t="inlineStr">
        <is>
          <t>2.10</t>
        </is>
      </c>
      <c r="B19" s="34" t="inlineStr">
        <is>
          <t>"Mình nhận áo hôm qua, chật quá, đổi sang size L giúp mình, mã MS-1043." Loại tình huống?  (chọn: Đại diện / Thử thách / Hồi quy nghiêm trọng)</t>
        </is>
      </c>
      <c r="C19" s="41" t="inlineStr">
        <is>
          <t>Đại diện</t>
        </is>
      </c>
      <c r="D19" s="39">
        <f>IF(C19="","",IF(C19="Đại diện","Đúng","Chưa đúng"))</f>
        <v/>
      </c>
      <c r="E19" s="34" t="inlineStr">
        <is>
          <t>30</t>
        </is>
      </c>
    </row>
    <row r="20" ht="33" customHeight="1" s="27">
      <c r="A20" s="35" t="inlineStr">
        <is>
          <t>2.11</t>
        </is>
      </c>
      <c r="B20" s="34" t="inlineStr">
        <is>
          <t>"Cái đơn hôm bữa ấy, thôi giờ mình không lấy nữa được không?" Loại tình huống?  (chọn: Đại diện / Thử thách / Hồi quy nghiêm trọng)</t>
        </is>
      </c>
      <c r="C20" s="41" t="inlineStr">
        <is>
          <t>Thử thách</t>
        </is>
      </c>
      <c r="D20" s="39">
        <f>IF(C20="","",IF(C20="Thử thách","Đúng","Chưa đúng"))</f>
        <v/>
      </c>
      <c r="E20" s="34" t="inlineStr">
        <is>
          <t>30</t>
        </is>
      </c>
    </row>
    <row r="21" ht="33" customHeight="1" s="27">
      <c r="A21" s="35" t="inlineStr">
        <is>
          <t>2.12</t>
        </is>
      </c>
      <c r="B21" s="34" t="inlineStr">
        <is>
          <t>"Mình đặt 2 đơn, đơn MS-1050 muốn trả, đơn MS-1051 muốn đổi size." Loại tình huống?  (chọn: Đại diện / Thử thách / Hồi quy nghiêm trọng)</t>
        </is>
      </c>
      <c r="C21" s="41" t="inlineStr">
        <is>
          <t>Thử thách</t>
        </is>
      </c>
      <c r="D21" s="39">
        <f>IF(C21="","",IF(C21="Thử thách","Đúng","Chưa đúng"))</f>
        <v/>
      </c>
      <c r="E21" s="34" t="inlineStr">
        <is>
          <t>30</t>
        </is>
      </c>
    </row>
    <row r="22" ht="48" customHeight="1" s="27">
      <c r="A22" s="35" t="inlineStr">
        <is>
          <t>2.13</t>
        </is>
      </c>
      <c r="B22" s="34" t="inlineStr">
        <is>
          <t>"Đơn MS-0871 mình nhận 20 ngày rồi, trả lấy tiền được không?" Tuần trước trợ lý từng hứa hoàn tiền cho đúng kiểu tin này. Loại tình huống?  (chọn: Đại diện / Thử thách / Hồi quy nghiêm trọng)</t>
        </is>
      </c>
      <c r="C22" s="41" t="inlineStr">
        <is>
          <t>Hồi quy nghiêm trọng</t>
        </is>
      </c>
      <c r="D22" s="39">
        <f>IF(C22="","",IF(C22="Hồi quy nghiêm trọng","Đúng","Chưa đúng"))</f>
        <v/>
      </c>
      <c r="E22" s="34" t="inlineStr">
        <is>
          <t>30</t>
        </is>
      </c>
    </row>
    <row r="23" ht="18" customHeight="1" s="27">
      <c r="A23" s="35" t="inlineStr">
        <is>
          <t>2.14</t>
        </is>
      </c>
      <c r="B23" s="34" t="inlineStr">
        <is>
          <t>Câu nào đúng về việc dùng AI tạo ca kiểm thử?</t>
        </is>
      </c>
      <c r="C23" s="41" t="inlineStr">
        <is>
          <t>B</t>
        </is>
      </c>
      <c r="D23" s="39">
        <f>IF(C23="","",IF(C23="B","Đúng","Chưa đúng"))</f>
        <v/>
      </c>
      <c r="E23" s="34" t="inlineStr">
        <is>
          <t>25</t>
        </is>
      </c>
    </row>
    <row r="25" ht="18" customHeight="1" s="27">
      <c r="A25" s="35" t="inlineStr">
        <is>
          <t>Số câu đúng</t>
        </is>
      </c>
      <c r="B25" s="37" t="n"/>
      <c r="C25" s="42">
        <f>COUNTIF(D10:D23,"Đúng")</f>
        <v/>
      </c>
      <c r="D25" s="34" t="inlineStr">
        <is>
          <t>/ 14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5">
    <mergeCell ref="A4:E4"/>
    <mergeCell ref="A2:E2"/>
    <mergeCell ref="A25:B25"/>
    <mergeCell ref="A7:E7"/>
    <mergeCell ref="A5:E5"/>
  </mergeCells>
  <dataValidations count="11">
    <dataValidation sqref="C10" showDropDown="0" showInputMessage="0" showErrorMessage="0" allowBlank="1" type="list" errorStyle="stop" operator="between">
      <formula1>_ds!$A$1:$A$2</formula1>
      <formula2>0</formula2>
    </dataValidation>
    <dataValidation sqref="C11" showDropDown="0" showInputMessage="0" showErrorMessage="0" allowBlank="1" type="list" errorStyle="stop" operator="between">
      <formula1>_ds!$A$1:$A$2</formula1>
      <formula2>0</formula2>
    </dataValidation>
    <dataValidation sqref="C12" showDropDown="0" showInputMessage="0" showErrorMessage="0" allowBlank="1" type="list" errorStyle="stop" operator="between">
      <formula1>_ds!$A$1:$A$2</formula1>
      <formula2>0</formula2>
    </dataValidation>
    <dataValidation sqref="C13" showDropDown="0" showInputMessage="0" showErrorMessage="0" allowBlank="1" type="list" errorStyle="stop" operator="between">
      <formula1>_ds!$A$1:$A$2</formula1>
      <formula2>0</formula2>
    </dataValidation>
    <dataValidation sqref="C14" showDropDown="0" showInputMessage="0" showErrorMessage="0" allowBlank="1" type="list" errorStyle="stop" operator="between">
      <formula1>_ds!$A$1:$A$2</formula1>
      <formula2>0</formula2>
    </dataValidation>
    <dataValidation sqref="C15" showDropDown="0" showInputMessage="0" showErrorMessage="0" allowBlank="1" type="list" errorStyle="stop" operator="between">
      <formula1>_ds!$A$1:$A$2</formula1>
      <formula2>0</formula2>
    </dataValidation>
    <dataValidation sqref="C19" showDropDown="0" showInputMessage="0" showErrorMessage="0" allowBlank="1" type="list" errorStyle="stop" operator="between">
      <formula1>_ds!$E$1:$E$3</formula1>
      <formula2>0</formula2>
    </dataValidation>
    <dataValidation sqref="C20" showDropDown="0" showInputMessage="0" showErrorMessage="0" allowBlank="1" type="list" errorStyle="stop" operator="between">
      <formula1>_ds!$E$1:$E$3</formula1>
      <formula2>0</formula2>
    </dataValidation>
    <dataValidation sqref="C21" showDropDown="0" showInputMessage="0" showErrorMessage="0" allowBlank="1" type="list" errorStyle="stop" operator="between">
      <formula1>_ds!$E$1:$E$3</formula1>
      <formula2>0</formula2>
    </dataValidation>
    <dataValidation sqref="C22" showDropDown="0" showInputMessage="0" showErrorMessage="0" allowBlank="1" type="list" errorStyle="stop" operator="between">
      <formula1>_ds!$E$1:$E$3</formula1>
      <formula2>0</formula2>
    </dataValidation>
    <dataValidation sqref="C23" showDropDown="0" showInputMessage="0" showErrorMessage="0" allowBlank="1" type="list" errorStyle="stop" operator="between">
      <formula1>_ds!$B$1:$B$3</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E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26" min="1" max="1"/>
    <col width="70" customWidth="1" style="26" min="2" max="2"/>
    <col width="22" customWidth="1" style="26" min="3" max="3"/>
    <col width="14" customWidth="1" style="26" min="4" max="4"/>
    <col width="13" customWidth="1" style="26" min="5" max="5"/>
  </cols>
  <sheetData>
    <row r="1" ht="17.35" customHeight="1" s="27">
      <c r="A1" s="28" t="inlineStr">
        <is>
          <t>Bài 3 · Đọc vết thực thi, tìm bước sai đầu tiên (10 phút) · sau Phần 03 · trang 31–36</t>
        </is>
      </c>
    </row>
    <row r="2" ht="18" customHeight="1" s="27">
      <c r="A2" s="29" t="inlineStr">
        <is>
          <t>Làm cá nhân, không tính điểm. Điền ô vàng ở cột C; cột D tự báo kết quả.</t>
        </is>
      </c>
    </row>
    <row r="4" ht="33" customHeight="1" s="27">
      <c r="A4" s="31" t="inlineStr">
        <is>
          <t>Đọc 4 vết thực thi của trợ lý Mộc. Với mỗi vết: tìm bước sai ĐẦU TIÊN (trang 33: lỗi bắt đầu ở đâu, bước sau chỉ là hệ quả) và gắn 1 mã lỗi gốc (trang 35).</t>
        </is>
      </c>
    </row>
    <row r="5" ht="18" customHeight="1" s="27">
      <c r="A5" s="31" t="inlineStr">
        <is>
          <t>Đối chiếu với chính sách CS-1 đến CS-6 trong hồ sơ tình huống.</t>
        </is>
      </c>
    </row>
    <row r="7" ht="18" customHeight="1" s="27">
      <c r="A7" s="33" t="inlineStr">
        <is>
          <t>Vết</t>
        </is>
      </c>
      <c r="B7" s="33" t="inlineStr">
        <is>
          <t>Bước · loại · nội dung</t>
        </is>
      </c>
      <c r="C7" s="43" t="n"/>
      <c r="D7" s="43" t="n"/>
      <c r="E7" s="37" t="n"/>
    </row>
    <row r="8" ht="18" customHeight="1" s="27">
      <c r="A8" s="35" t="inlineStr">
        <is>
          <t>T1</t>
        </is>
      </c>
      <c r="B8" s="34" t="inlineStr">
        <is>
          <t>1 · Khách: "Đơn MS-1043 mình nhận hôm qua, áo chật, đổi size L được không?"</t>
        </is>
      </c>
      <c r="C8" s="43" t="n"/>
      <c r="D8" s="43" t="n"/>
      <c r="E8" s="37" t="n"/>
    </row>
    <row r="9" ht="18" customHeight="1" s="27">
      <c r="A9" s="35" t="n"/>
      <c r="B9" s="34" t="inlineStr">
        <is>
          <t>2 · Phân loại ý định: Tra cứu đơn</t>
        </is>
      </c>
      <c r="C9" s="43" t="n"/>
      <c r="D9" s="43" t="n"/>
      <c r="E9" s="37" t="n"/>
    </row>
    <row r="10" ht="18" customHeight="1" s="27">
      <c r="A10" s="35" t="n"/>
      <c r="B10" s="34" t="inlineStr">
        <is>
          <t>3 · Công cụ: tra_cuu_don(MS-1043) → đã giao ngày 13/10</t>
        </is>
      </c>
      <c r="C10" s="43" t="n"/>
      <c r="D10" s="43" t="n"/>
      <c r="E10" s="37" t="n"/>
    </row>
    <row r="11" ht="18" customHeight="1" s="27">
      <c r="A11" s="35" t="n"/>
      <c r="B11" s="34" t="inlineStr">
        <is>
          <t>4 · Trả lời: "Đơn MS-1043 đã giao thành công ngày 13/10. Bạn cần hỗ trợ gì thêm không ạ?"</t>
        </is>
      </c>
      <c r="C11" s="43" t="n"/>
      <c r="D11" s="43" t="n"/>
      <c r="E11" s="37" t="n"/>
    </row>
    <row r="12" ht="18" customHeight="1" s="27">
      <c r="A12" s="35" t="n"/>
      <c r="B12" s="34" t="inlineStr">
        <is>
          <t>5 · Phản hồi: Không thích: "mình hỏi đổi size mà"</t>
        </is>
      </c>
      <c r="C12" s="43" t="n"/>
      <c r="D12" s="43" t="n"/>
      <c r="E12" s="37" t="n"/>
    </row>
    <row r="13" ht="18" customHeight="1" s="27">
      <c r="A13" s="35" t="inlineStr">
        <is>
          <t>T2</t>
        </is>
      </c>
      <c r="B13" s="34" t="inlineStr">
        <is>
          <t>1 · Khách: "Mình muốn trả đôi giày mua tháng trước, hoàn tiền giúp mình." (không có mã đơn)</t>
        </is>
      </c>
      <c r="C13" s="43" t="n"/>
      <c r="D13" s="43" t="n"/>
      <c r="E13" s="37" t="n"/>
    </row>
    <row r="14" ht="18" customHeight="1" s="27">
      <c r="A14" s="35" t="n"/>
      <c r="B14" s="34" t="inlineStr">
        <is>
          <t>2 · Phân loại ý định: Trả hàng</t>
        </is>
      </c>
      <c r="C14" s="43" t="n"/>
      <c r="D14" s="43" t="n"/>
      <c r="E14" s="37" t="n"/>
    </row>
    <row r="15" ht="18" customHeight="1" s="27">
      <c r="A15" s="35" t="n"/>
      <c r="B15" s="34" t="inlineStr">
        <is>
          <t>3 · Công cụ: (không gọi công cụ nào)</t>
        </is>
      </c>
      <c r="C15" s="43" t="n"/>
      <c r="D15" s="43" t="n"/>
      <c r="E15" s="37" t="n"/>
    </row>
    <row r="16" ht="18" customHeight="1" s="27">
      <c r="A16" s="35" t="n"/>
      <c r="B16" s="34" t="inlineStr">
        <is>
          <t>4 · Trả lời: "Dạ shop đã ghi nhận, tiền sẽ về tài khoản bạn trong 3–5 ngày ạ."</t>
        </is>
      </c>
      <c r="C16" s="43" t="n"/>
      <c r="D16" s="43" t="n"/>
      <c r="E16" s="37" t="n"/>
    </row>
    <row r="17" ht="18" customHeight="1" s="27">
      <c r="A17" s="35" t="inlineStr">
        <is>
          <t>T3</t>
        </is>
      </c>
      <c r="B17" s="34" t="inlineStr">
        <is>
          <t>1 · Khách: "Giày mua 20 ngày, đế bong hết rồi. Cho mình gặp người phụ trách." Mã MS-0990</t>
        </is>
      </c>
      <c r="C17" s="43" t="n"/>
      <c r="D17" s="43" t="n"/>
      <c r="E17" s="37" t="n"/>
    </row>
    <row r="18" ht="18" customHeight="1" s="27">
      <c r="A18" s="35" t="n"/>
      <c r="B18" s="34" t="inlineStr">
        <is>
          <t>2 · Phân loại ý định: Trả hàng · dấu hiệu hàng lỗi: có</t>
        </is>
      </c>
      <c r="C18" s="43" t="n"/>
      <c r="D18" s="43" t="n"/>
      <c r="E18" s="37" t="n"/>
    </row>
    <row r="19" ht="18" customHeight="1" s="27">
      <c r="A19" s="35" t="n"/>
      <c r="B19" s="34" t="inlineStr">
        <is>
          <t>3 · Công cụ: tra_cuu_don(MS-0990) → nhận hàng 20 ngày trước</t>
        </is>
      </c>
      <c r="C19" s="43" t="n"/>
      <c r="D19" s="43" t="n"/>
      <c r="E19" s="37" t="n"/>
    </row>
    <row r="20" ht="18" customHeight="1" s="27">
      <c r="A20" s="35" t="n"/>
      <c r="B20" s="34" t="inlineStr">
        <is>
          <t>4 · Trả lời: "Theo chính sách, đơn quá 7 ngày không được đổi trả ạ." (không gọi chuyen_nhan_vien)</t>
        </is>
      </c>
      <c r="C20" s="43" t="n"/>
      <c r="D20" s="43" t="n"/>
      <c r="E20" s="37" t="n"/>
    </row>
    <row r="21" ht="18" customHeight="1" s="27">
      <c r="A21" s="35" t="inlineStr">
        <is>
          <t>T4</t>
        </is>
      </c>
      <c r="B21" s="34" t="inlineStr">
        <is>
          <t>1 · Khách: "Áo chật quá, đổi size M sang L được không? Mã MS-1102."</t>
        </is>
      </c>
      <c r="C21" s="43" t="n"/>
      <c r="D21" s="43" t="n"/>
      <c r="E21" s="37" t="n"/>
    </row>
    <row r="22" ht="18" customHeight="1" s="27">
      <c r="A22" s="35" t="n"/>
      <c r="B22" s="34" t="inlineStr">
        <is>
          <t>2 · Phân loại ý định: Đổi hàng</t>
        </is>
      </c>
      <c r="C22" s="43" t="n"/>
      <c r="D22" s="43" t="n"/>
      <c r="E22" s="37" t="n"/>
    </row>
    <row r="23" ht="18" customHeight="1" s="27">
      <c r="A23" s="35" t="n"/>
      <c r="B23" s="34" t="inlineStr">
        <is>
          <t>3 · Công cụ: tra_cuu_don(MS-1102) → nhận hàng 2 ngày trước</t>
        </is>
      </c>
      <c r="C23" s="43" t="n"/>
      <c r="D23" s="43" t="n"/>
      <c r="E23" s="37" t="n"/>
    </row>
    <row r="24" ht="18" customHeight="1" s="27">
      <c r="A24" s="35" t="n"/>
      <c r="B24" s="34" t="inlineStr">
        <is>
          <t>4 · Trả lời: "Dạ đơn MS-1102 vẫn trong hạn đổi 7 ngày ạ." (kết thúc)</t>
        </is>
      </c>
      <c r="C24" s="43" t="n"/>
      <c r="D24" s="43" t="n"/>
      <c r="E24" s="37" t="n"/>
    </row>
    <row r="26" ht="33" customHeight="1" s="27">
      <c r="A26" s="31" t="inlineStr">
        <is>
          <t>Câu 3.9: A. Lời trả lời trôi chảy, nghe chắc chắn; chỉ vết thực thi mới cho thấy không có bước tra cứu.  ·  B. Vì khách không phàn nàn gì.  ·  C. Vì câu trả lời quá ngắn.</t>
        </is>
      </c>
    </row>
    <row r="28" ht="18" customHeight="1" s="27">
      <c r="A28" s="33" t="inlineStr">
        <is>
          <t>Câu</t>
        </is>
      </c>
      <c r="B28" s="33" t="inlineStr">
        <is>
          <t>Đề</t>
        </is>
      </c>
      <c r="C28" s="33" t="inlineStr">
        <is>
          <t>Trả lời</t>
        </is>
      </c>
      <c r="D28" s="33" t="inlineStr">
        <is>
          <t>Kiểm tra</t>
        </is>
      </c>
      <c r="E28" s="33" t="inlineStr">
        <is>
          <t>Trang</t>
        </is>
      </c>
    </row>
    <row r="29" ht="18" customHeight="1" s="27">
      <c r="A29" s="35" t="inlineStr">
        <is>
          <t>3.1</t>
        </is>
      </c>
      <c r="B29" s="34" t="inlineStr">
        <is>
          <t>T1 · Bước sai đầu tiên là bước số mấy?</t>
        </is>
      </c>
      <c r="C29" s="38" t="n">
        <v>2</v>
      </c>
      <c r="D29" s="39">
        <f>IF(C29="","",IF(ISNUMBER(C29),IF(ABS(C29-2)&lt;=0.01,"Đúng","Chưa đúng"),"Gõ một số"))</f>
        <v/>
      </c>
      <c r="E29" s="34" t="inlineStr">
        <is>
          <t>33</t>
        </is>
      </c>
    </row>
    <row r="30" ht="33" customHeight="1" s="27">
      <c r="A30" s="35" t="inlineStr">
        <is>
          <t>3.2</t>
        </is>
      </c>
      <c r="B30" s="34" t="inlineStr">
        <is>
          <t>T1 · Mã lỗi gốc là gì?  (chọn: wrong_intent / missing_lookup / premature_commit / missing_escalation / no_next_step)</t>
        </is>
      </c>
      <c r="C30" s="41" t="inlineStr">
        <is>
          <t>wrong_intent</t>
        </is>
      </c>
      <c r="D30" s="39">
        <f>IF(C30="","",IF(C30="wrong_intent","Đúng","Chưa đúng"))</f>
        <v/>
      </c>
      <c r="E30" s="34" t="inlineStr">
        <is>
          <t>35</t>
        </is>
      </c>
    </row>
    <row r="31" ht="18" customHeight="1" s="27">
      <c r="A31" s="35" t="inlineStr">
        <is>
          <t>3.3</t>
        </is>
      </c>
      <c r="B31" s="34" t="inlineStr">
        <is>
          <t>T2 · Bước sai đầu tiên là bước số mấy?</t>
        </is>
      </c>
      <c r="C31" s="38" t="n">
        <v>3</v>
      </c>
      <c r="D31" s="39">
        <f>IF(C31="","",IF(ISNUMBER(C31),IF(ABS(C31-3)&lt;=0.01,"Đúng","Chưa đúng"),"Gõ một số"))</f>
        <v/>
      </c>
      <c r="E31" s="34" t="inlineStr">
        <is>
          <t>33</t>
        </is>
      </c>
    </row>
    <row r="32" ht="33" customHeight="1" s="27">
      <c r="A32" s="35" t="inlineStr">
        <is>
          <t>3.4</t>
        </is>
      </c>
      <c r="B32" s="34" t="inlineStr">
        <is>
          <t>T2 · Mã lỗi gốc là gì?  (chọn: wrong_intent / missing_lookup / premature_commit / missing_escalation / no_next_step)</t>
        </is>
      </c>
      <c r="C32" s="41" t="inlineStr">
        <is>
          <t>missing_lookup</t>
        </is>
      </c>
      <c r="D32" s="39">
        <f>IF(C32="","",IF(C32="missing_lookup","Đúng","Chưa đúng"))</f>
        <v/>
      </c>
      <c r="E32" s="34" t="inlineStr">
        <is>
          <t>35</t>
        </is>
      </c>
    </row>
    <row r="33" ht="18" customHeight="1" s="27">
      <c r="A33" s="35" t="inlineStr">
        <is>
          <t>3.5</t>
        </is>
      </c>
      <c r="B33" s="34" t="inlineStr">
        <is>
          <t>T3 · Bước sai đầu tiên là bước số mấy?</t>
        </is>
      </c>
      <c r="C33" s="38" t="n">
        <v>4</v>
      </c>
      <c r="D33" s="39">
        <f>IF(C33="","",IF(ISNUMBER(C33),IF(ABS(C33-4)&lt;=0.01,"Đúng","Chưa đúng"),"Gõ một số"))</f>
        <v/>
      </c>
      <c r="E33" s="34" t="inlineStr">
        <is>
          <t>33</t>
        </is>
      </c>
    </row>
    <row r="34" ht="33" customHeight="1" s="27">
      <c r="A34" s="35" t="inlineStr">
        <is>
          <t>3.6</t>
        </is>
      </c>
      <c r="B34" s="34" t="inlineStr">
        <is>
          <t>T3 · Mã lỗi gốc là gì?  (chọn: wrong_intent / missing_lookup / premature_commit / missing_escalation / no_next_step)</t>
        </is>
      </c>
      <c r="C34" s="41" t="inlineStr">
        <is>
          <t>missing_escalation</t>
        </is>
      </c>
      <c r="D34" s="39">
        <f>IF(C34="","",IF(C34="missing_escalation","Đúng","Chưa đúng"))</f>
        <v/>
      </c>
      <c r="E34" s="34" t="inlineStr">
        <is>
          <t>35</t>
        </is>
      </c>
    </row>
    <row r="35" ht="18" customHeight="1" s="27">
      <c r="A35" s="35" t="inlineStr">
        <is>
          <t>3.7</t>
        </is>
      </c>
      <c r="B35" s="34" t="inlineStr">
        <is>
          <t>T4 · Bước sai đầu tiên là bước số mấy?</t>
        </is>
      </c>
      <c r="C35" s="38" t="n">
        <v>4</v>
      </c>
      <c r="D35" s="39">
        <f>IF(C35="","",IF(ISNUMBER(C35),IF(ABS(C35-4)&lt;=0.01,"Đúng","Chưa đúng"),"Gõ một số"))</f>
        <v/>
      </c>
      <c r="E35" s="34" t="inlineStr">
        <is>
          <t>33</t>
        </is>
      </c>
    </row>
    <row r="36" ht="33" customHeight="1" s="27">
      <c r="A36" s="35" t="inlineStr">
        <is>
          <t>3.8</t>
        </is>
      </c>
      <c r="B36" s="34" t="inlineStr">
        <is>
          <t>T4 · Mã lỗi gốc là gì?  (chọn: wrong_intent / missing_lookup / premature_commit / missing_escalation / no_next_step)</t>
        </is>
      </c>
      <c r="C36" s="41" t="inlineStr">
        <is>
          <t>no_next_step</t>
        </is>
      </c>
      <c r="D36" s="39">
        <f>IF(C36="","",IF(C36="no_next_step","Đúng","Chưa đúng"))</f>
        <v/>
      </c>
      <c r="E36" s="34" t="inlineStr">
        <is>
          <t>35</t>
        </is>
      </c>
    </row>
    <row r="37" ht="18" customHeight="1" s="27">
      <c r="A37" s="35" t="inlineStr">
        <is>
          <t>3.9</t>
        </is>
      </c>
      <c r="B37" s="34" t="inlineStr">
        <is>
          <t>T2 · Vì sao chỉ đọc lời trợ lý nói thì không thấy lỗi?</t>
        </is>
      </c>
      <c r="C37" s="41" t="inlineStr">
        <is>
          <t>A</t>
        </is>
      </c>
      <c r="D37" s="39">
        <f>IF(C37="","",IF(C37="A","Đúng","Chưa đúng"))</f>
        <v/>
      </c>
      <c r="E37" s="34" t="inlineStr">
        <is>
          <t>32</t>
        </is>
      </c>
    </row>
    <row r="39" ht="18" customHeight="1" s="27">
      <c r="A39" s="35" t="inlineStr">
        <is>
          <t>Số câu đúng</t>
        </is>
      </c>
      <c r="B39" s="37" t="n"/>
      <c r="C39" s="42">
        <f>COUNTIF(D29:D37,"Đúng")</f>
        <v/>
      </c>
      <c r="D39" s="34" t="inlineStr">
        <is>
          <t>/ 9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23">
    <mergeCell ref="B9:E9"/>
    <mergeCell ref="B15:E15"/>
    <mergeCell ref="B24:E24"/>
    <mergeCell ref="B20:E20"/>
    <mergeCell ref="B16:E16"/>
    <mergeCell ref="B7:E7"/>
    <mergeCell ref="B22:E22"/>
    <mergeCell ref="B18:E18"/>
    <mergeCell ref="A26:E26"/>
    <mergeCell ref="A2:E2"/>
    <mergeCell ref="B12:E12"/>
    <mergeCell ref="B21:E21"/>
    <mergeCell ref="A5:E5"/>
    <mergeCell ref="B11:E11"/>
    <mergeCell ref="B14:E14"/>
    <mergeCell ref="B17:E17"/>
    <mergeCell ref="B23:E23"/>
    <mergeCell ref="A4:E4"/>
    <mergeCell ref="B8:E8"/>
    <mergeCell ref="B13:E13"/>
    <mergeCell ref="B19:E19"/>
    <mergeCell ref="B10:E10"/>
    <mergeCell ref="A39:B39"/>
  </mergeCells>
  <dataValidations count="5">
    <dataValidation sqref="C30" showDropDown="0" showInputMessage="0" showErrorMessage="0" allowBlank="1" type="list" errorStyle="stop" operator="between">
      <formula1>_ds!$F$1:$F$5</formula1>
      <formula2>0</formula2>
    </dataValidation>
    <dataValidation sqref="C32" showDropDown="0" showInputMessage="0" showErrorMessage="0" allowBlank="1" type="list" errorStyle="stop" operator="between">
      <formula1>_ds!$F$1:$F$5</formula1>
      <formula2>0</formula2>
    </dataValidation>
    <dataValidation sqref="C34" showDropDown="0" showInputMessage="0" showErrorMessage="0" allowBlank="1" type="list" errorStyle="stop" operator="between">
      <formula1>_ds!$F$1:$F$5</formula1>
      <formula2>0</formula2>
    </dataValidation>
    <dataValidation sqref="C36" showDropDown="0" showInputMessage="0" showErrorMessage="0" allowBlank="1" type="list" errorStyle="stop" operator="between">
      <formula1>_ds!$F$1:$F$5</formula1>
      <formula2>0</formula2>
    </dataValidation>
    <dataValidation sqref="C37" showDropDown="0" showInputMessage="0" showErrorMessage="0" allowBlank="1" type="list" errorStyle="stop" operator="between">
      <formula1>_ds!$B$1:$B$3</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E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26" min="1" max="1"/>
    <col width="70" customWidth="1" style="26" min="2" max="2"/>
    <col width="22" customWidth="1" style="26" min="3" max="3"/>
    <col width="14" customWidth="1" style="26" min="4" max="4"/>
    <col width="13" customWidth="1" style="26" min="5" max="5"/>
  </cols>
  <sheetData>
    <row r="1" ht="17.35" customHeight="1" s="27">
      <c r="A1" s="28" t="inlineStr">
        <is>
          <t>Bài 4 · Chọn cách chấm và ra kết luận (10 phút) · sau Phần 04–05 · trang 37–50</t>
        </is>
      </c>
    </row>
    <row r="2" ht="18" customHeight="1" s="27">
      <c r="A2" s="29" t="inlineStr">
        <is>
          <t>Làm cá nhân, không tính điểm. Điền ô vàng ở cột C; cột D tự báo kết quả.</t>
        </is>
      </c>
    </row>
    <row r="4" ht="33" customHeight="1" s="27">
      <c r="A4" s="31" t="inlineStr">
        <is>
          <t>Ba câu hỏi trước khi viết bài đánh giá (trang 39). Chọn bộ chấm theo căn cứ kiểm chứng (trang 40–41). Đọc mã kiểm tra nhãn (trang 44). Kết luận "có răng" (trang 50).</t>
        </is>
      </c>
    </row>
    <row r="5" ht="33" customHeight="1" s="27">
      <c r="A5" s="31" t="inlineStr">
        <is>
          <t>Mã kiểm tra nhãn của Mộc: VALID = {"Đổi hàng", "Trả hàng", "Tra cứu đơn", "Cần làm rõ"}; đếm số nhãn hợp lệ xuất hiện trong đầu ra (so khớp đúng từng chữ). Đúng 1 → Đạt; 0 → Không đạt; từ 2 trở lên → Không đạt.</t>
        </is>
      </c>
    </row>
    <row r="6" ht="33" customHeight="1" s="27">
      <c r="A6" s="31" t="inlineStr">
        <is>
          <t>Bảng cho câu 4.14–4.15: bộ đề 50 tin, mọi ngưỡng chốt trước khi chạy. Quy tắc phát hành (trang 50): mọi tiêu chí đạt ngưỡng và không tiêu chí nào tụt quá 2 điểm so với bản cũ.</t>
        </is>
      </c>
    </row>
    <row r="8" ht="31.5" customHeight="1" s="27">
      <c r="A8" s="33" t="inlineStr">
        <is>
          <t>Tiêu chí</t>
        </is>
      </c>
      <c r="B8" s="37" t="n"/>
      <c r="C8" s="33" t="inlineStr">
        <is>
          <t>Ngưỡng chốt trước</t>
        </is>
      </c>
      <c r="D8" s="33" t="inlineStr">
        <is>
          <t>v1.3</t>
        </is>
      </c>
      <c r="E8" s="33" t="inlineStr">
        <is>
          <t>v1.4</t>
        </is>
      </c>
    </row>
    <row r="9" ht="18" customHeight="1" s="27">
      <c r="A9" s="34" t="inlineStr">
        <is>
          <t>Nhãn ý định đúng</t>
        </is>
      </c>
      <c r="B9" s="37" t="n"/>
      <c r="C9" s="34" t="inlineStr">
        <is>
          <t>≥ 90%</t>
        </is>
      </c>
      <c r="D9" s="34" t="inlineStr">
        <is>
          <t>90%</t>
        </is>
      </c>
      <c r="E9" s="34" t="inlineStr">
        <is>
          <t>96%</t>
        </is>
      </c>
    </row>
    <row r="10" ht="18" customHeight="1" s="27">
      <c r="A10" s="34" t="inlineStr">
        <is>
          <t>Bịa mã đơn</t>
        </is>
      </c>
      <c r="B10" s="37" t="n"/>
      <c r="C10" s="34" t="inlineStr">
        <is>
          <t>0 tin</t>
        </is>
      </c>
      <c r="D10" s="34" t="inlineStr">
        <is>
          <t>0 tin</t>
        </is>
      </c>
      <c r="E10" s="34" t="inlineStr">
        <is>
          <t>0 tin</t>
        </is>
      </c>
    </row>
    <row r="11" ht="18" customHeight="1" s="27">
      <c r="A11" s="34" t="inlineStr">
        <is>
          <t>Thời gian phản hồi (trung vị)</t>
        </is>
      </c>
      <c r="B11" s="37" t="n"/>
      <c r="C11" s="34" t="inlineStr">
        <is>
          <t>&lt; 2 giây</t>
        </is>
      </c>
      <c r="D11" s="34" t="inlineStr">
        <is>
          <t>1,4 giây</t>
        </is>
      </c>
      <c r="E11" s="34" t="inlineStr">
        <is>
          <t>1,6 giây</t>
        </is>
      </c>
    </row>
    <row r="12" ht="18" customHeight="1" s="27">
      <c r="A12" s="34" t="inlineStr">
        <is>
          <t>Ghi nhận cảm xúc khách</t>
        </is>
      </c>
      <c r="B12" s="37" t="n"/>
      <c r="C12" s="34" t="inlineStr">
        <is>
          <t>không tụt quá 2 điểm</t>
        </is>
      </c>
      <c r="D12" s="34" t="inlineStr">
        <is>
          <t>84%</t>
        </is>
      </c>
      <c r="E12" s="34" t="inlineStr">
        <is>
          <t>76%</t>
        </is>
      </c>
    </row>
    <row r="14" ht="33" customHeight="1" s="27">
      <c r="A14" s="31" t="inlineStr">
        <is>
          <t>Câu 4.13: A. Kết luận trợ lý hỏng, quay về bản cũ.  ·  B. Kiểm tra lại chính bài đánh giá: mẫu so khớp, tên trường dữ liệu.  ·  C. Hạ ngưỡng để có kết quả.</t>
        </is>
      </c>
    </row>
    <row r="16" ht="18" customHeight="1" s="27">
      <c r="A16" s="33" t="inlineStr">
        <is>
          <t>Câu</t>
        </is>
      </c>
      <c r="B16" s="33" t="inlineStr">
        <is>
          <t>Đề</t>
        </is>
      </c>
      <c r="C16" s="33" t="inlineStr">
        <is>
          <t>Trả lời</t>
        </is>
      </c>
      <c r="D16" s="33" t="inlineStr">
        <is>
          <t>Kiểm tra</t>
        </is>
      </c>
      <c r="E16" s="33" t="inlineStr">
        <is>
          <t>Trang</t>
        </is>
      </c>
    </row>
    <row r="17" ht="48" customHeight="1" s="27">
      <c r="A17" s="35" t="inlineStr">
        <is>
          <t>4.1</t>
        </is>
      </c>
      <c r="B17" s="34" t="inlineStr">
        <is>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is>
      </c>
      <c r="C17" s="41" t="inlineStr">
        <is>
          <t>Thiếu đặc tả → sửa câu lệnh</t>
        </is>
      </c>
      <c r="D17" s="39">
        <f>IF(C17="","",IF(C17="Thiếu đặc tả → sửa câu lệnh","Đúng","Chưa đúng"))</f>
        <v/>
      </c>
      <c r="E17" s="34" t="inlineStr">
        <is>
          <t>39</t>
        </is>
      </c>
    </row>
    <row r="18" ht="48" customHeight="1" s="27">
      <c r="A18" s="35" t="inlineStr">
        <is>
          <t>4.2</t>
        </is>
      </c>
      <c r="B18" s="34" t="inlineStr">
        <is>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is>
      </c>
      <c r="C18" s="41" t="inlineStr">
        <is>
          <t>Thiếu năng lực hệ thống → sửa kỹ thuật</t>
        </is>
      </c>
      <c r="D18" s="39">
        <f>IF(C18="","",IF(C18="Thiếu năng lực hệ thống → sửa kỹ thuật","Đúng","Chưa đúng"))</f>
        <v/>
      </c>
      <c r="E18" s="34" t="inlineStr">
        <is>
          <t>39</t>
        </is>
      </c>
    </row>
    <row r="19" ht="63" customHeight="1" s="27">
      <c r="A19" s="35" t="inlineStr">
        <is>
          <t>4.3</t>
        </is>
      </c>
      <c r="B19" s="34" t="inlineStr">
        <is>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is>
      </c>
      <c r="C19" s="41" t="inlineStr">
        <is>
          <t>Lúc được lúc không → viết bài đánh giá tự động</t>
        </is>
      </c>
      <c r="D19" s="39">
        <f>IF(C19="","",IF(C19="Lúc được lúc không → viết bài đánh giá tự động","Đúng","Chưa đúng"))</f>
        <v/>
      </c>
      <c r="E19" s="34" t="inlineStr">
        <is>
          <t>39</t>
        </is>
      </c>
    </row>
    <row r="20" ht="33" customHeight="1" s="27">
      <c r="A20" s="35" t="inlineStr">
        <is>
          <t>4.4</t>
        </is>
      </c>
      <c r="B20" s="34" t="inlineStr">
        <is>
          <t>Tiêu chí: nhãn ý định là đúng 1 trong 4 nhãn cho phép. Bộ chấm?  (chọn: Mã lệnh / Giám khảo AI / Người quyết)</t>
        </is>
      </c>
      <c r="C20" s="41" t="inlineStr">
        <is>
          <t>Mã lệnh</t>
        </is>
      </c>
      <c r="D20" s="39">
        <f>IF(C20="","",IF(C20="Mã lệnh","Đúng","Chưa đúng"))</f>
        <v/>
      </c>
      <c r="E20" s="34" t="inlineStr">
        <is>
          <t>40</t>
        </is>
      </c>
    </row>
    <row r="21" ht="33" customHeight="1" s="27">
      <c r="A21" s="35" t="inlineStr">
        <is>
          <t>4.5</t>
        </is>
      </c>
      <c r="B21" s="34" t="inlineStr">
        <is>
          <t>Tiêu chí: mã đơn trong câu trả lời trùng mã khách đưa (không bịa mã). Bộ chấm?  (chọn: Mã lệnh / Giám khảo AI / Người quyết)</t>
        </is>
      </c>
      <c r="C21" s="41" t="inlineStr">
        <is>
          <t>Mã lệnh</t>
        </is>
      </c>
      <c r="D21" s="39">
        <f>IF(C21="","",IF(C21="Mã lệnh","Đúng","Chưa đúng"))</f>
        <v/>
      </c>
      <c r="E21" s="34" t="inlineStr">
        <is>
          <t>46</t>
        </is>
      </c>
    </row>
    <row r="22" ht="33" customHeight="1" s="27">
      <c r="A22" s="35" t="inlineStr">
        <is>
          <t>4.6</t>
        </is>
      </c>
      <c r="B22" s="34" t="inlineStr">
        <is>
          <t>Tiêu chí: có gọi tra_cuu_don trước khi xác nhận đổi trả. Bộ chấm?  (chọn: Mã lệnh / Giám khảo AI / Người quyết)</t>
        </is>
      </c>
      <c r="C22" s="41" t="inlineStr">
        <is>
          <t>Mã lệnh</t>
        </is>
      </c>
      <c r="D22" s="39">
        <f>IF(C22="","",IF(C22="Mã lệnh","Đúng","Chưa đúng"))</f>
        <v/>
      </c>
      <c r="E22" s="34" t="inlineStr">
        <is>
          <t>45</t>
        </is>
      </c>
    </row>
    <row r="23" ht="33" customHeight="1" s="27">
      <c r="A23" s="35" t="inlineStr">
        <is>
          <t>4.7</t>
        </is>
      </c>
      <c r="B23" s="34" t="inlineStr">
        <is>
          <t>Tiêu chí: thời gian phản hồi dưới 2 giây. Bộ chấm?  (chọn: Mã lệnh / Giám khảo AI / Người quyết)</t>
        </is>
      </c>
      <c r="C23" s="41" t="inlineStr">
        <is>
          <t>Mã lệnh</t>
        </is>
      </c>
      <c r="D23" s="39">
        <f>IF(C23="","",IF(C23="Mã lệnh","Đúng","Chưa đúng"))</f>
        <v/>
      </c>
      <c r="E23" s="34" t="inlineStr">
        <is>
          <t>45</t>
        </is>
      </c>
    </row>
    <row r="24" ht="33" customHeight="1" s="27">
      <c r="A24" s="35" t="inlineStr">
        <is>
          <t>4.8</t>
        </is>
      </c>
      <c r="B24" s="34" t="inlineStr">
        <is>
          <t>Tiêu chí: ghi nhận cảm xúc của khách trước khi xử lý. Bộ chấm?  (chọn: Mã lệnh / Giám khảo AI / Người quyết)</t>
        </is>
      </c>
      <c r="C24" s="41" t="inlineStr">
        <is>
          <t>Giám khảo AI</t>
        </is>
      </c>
      <c r="D24" s="39">
        <f>IF(C24="","",IF(C24="Giám khảo AI","Đúng","Chưa đúng"))</f>
        <v/>
      </c>
      <c r="E24" s="34" t="inlineStr">
        <is>
          <t>40</t>
        </is>
      </c>
    </row>
    <row r="25" ht="33" customHeight="1" s="27">
      <c r="A25" s="35" t="inlineStr">
        <is>
          <t>4.9</t>
        </is>
      </c>
      <c r="B25" s="34" t="inlineStr">
        <is>
          <t>Tiêu chí: đề xuất mức đền bù cho hàng lỗi có hợp lý với từng khách không. Bộ chấm?  (chọn: Mã lệnh / Giám khảo AI / Người quyết)</t>
        </is>
      </c>
      <c r="C25" s="41" t="inlineStr">
        <is>
          <t>Người quyết</t>
        </is>
      </c>
      <c r="D25" s="39">
        <f>IF(C25="","",IF(C25="Người quyết","Đúng","Chưa đúng"))</f>
        <v/>
      </c>
      <c r="E25" s="34" t="inlineStr">
        <is>
          <t>41</t>
        </is>
      </c>
    </row>
    <row r="26" ht="33" customHeight="1" s="27">
      <c r="A26" s="35" t="inlineStr">
        <is>
          <t>4.10</t>
        </is>
      </c>
      <c r="B26" s="34" t="inlineStr">
        <is>
          <t>Đầu ra: "Ý định: Đổi hàng". Mã kiểm tra trả về?  (chọn: Đạt · đúng 1 nhãn / Không đạt · không có nhãn hợp lệ / Không đạt · nhiều hơn 1 nhãn)</t>
        </is>
      </c>
      <c r="C26" s="41" t="inlineStr">
        <is>
          <t>Đạt · đúng 1 nhãn</t>
        </is>
      </c>
      <c r="D26" s="39">
        <f>IF(C26="","",IF(C26="Đạt · đúng 1 nhãn","Đúng","Chưa đúng"))</f>
        <v/>
      </c>
      <c r="E26" s="34" t="inlineStr">
        <is>
          <t>44</t>
        </is>
      </c>
    </row>
    <row r="27" ht="33" customHeight="1" s="27">
      <c r="A27" s="35" t="inlineStr">
        <is>
          <t>4.11</t>
        </is>
      </c>
      <c r="B27" s="34" t="inlineStr">
        <is>
          <t>Đầu ra: "Ý định: đổi size". Mã kiểm tra trả về?  (chọn: Đạt · đúng 1 nhãn / Không đạt · không có nhãn hợp lệ / Không đạt · nhiều hơn 1 nhãn)</t>
        </is>
      </c>
      <c r="C27" s="41" t="inlineStr">
        <is>
          <t>Không đạt · không có nhãn hợp lệ</t>
        </is>
      </c>
      <c r="D27" s="39">
        <f>IF(C27="","",IF(C27="Không đạt · không có nhãn hợp lệ","Đúng","Chưa đúng"))</f>
        <v/>
      </c>
      <c r="E27" s="34" t="inlineStr">
        <is>
          <t>44</t>
        </is>
      </c>
    </row>
    <row r="28" ht="33" customHeight="1" s="27">
      <c r="A28" s="35" t="inlineStr">
        <is>
          <t>4.12</t>
        </is>
      </c>
      <c r="B28" s="34" t="inlineStr">
        <is>
          <t>Đầu ra: "Ý định: Đổi hàng; Trả hàng". Mã kiểm tra trả về?  (chọn: Đạt · đúng 1 nhãn / Không đạt · không có nhãn hợp lệ / Không đạt · nhiều hơn 1 nhãn)</t>
        </is>
      </c>
      <c r="C28" s="41" t="inlineStr">
        <is>
          <t>Không đạt · nhiều hơn 1 nhãn</t>
        </is>
      </c>
      <c r="D28" s="39">
        <f>IF(C28="","",IF(C28="Không đạt · nhiều hơn 1 nhãn","Đúng","Chưa đúng"))</f>
        <v/>
      </c>
      <c r="E28" s="34" t="inlineStr">
        <is>
          <t>44</t>
        </is>
      </c>
    </row>
    <row r="29" ht="33" customHeight="1" s="27">
      <c r="A29" s="35" t="inlineStr">
        <is>
          <t>4.13</t>
        </is>
      </c>
      <c r="B29" s="34" t="inlineStr">
        <is>
          <t>Một bài đánh giá mới chạy ra tỷ lệ đạt 0% trên cả 50 tin. Việc đầu tiên nên làm?</t>
        </is>
      </c>
      <c r="C29" s="41" t="inlineStr">
        <is>
          <t>B</t>
        </is>
      </c>
      <c r="D29" s="39">
        <f>IF(C29="","",IF(C29="B","Đúng","Chưa đúng"))</f>
        <v/>
      </c>
      <c r="E29" s="34" t="inlineStr">
        <is>
          <t>47</t>
        </is>
      </c>
    </row>
    <row r="30" ht="33" customHeight="1" s="27">
      <c r="A30" s="35" t="inlineStr">
        <is>
          <t>4.14</t>
        </is>
      </c>
      <c r="B30" s="34" t="inlineStr">
        <is>
          <t>Đọc bảng v1.3 / v1.4. Kết luận nào đúng?  (chọn: Phát hành / Lặp tiếp / Quay về bản cũ)</t>
        </is>
      </c>
      <c r="C30" s="41" t="inlineStr">
        <is>
          <t>Lặp tiếp</t>
        </is>
      </c>
      <c r="D30" s="39">
        <f>IF(C30="","",IF(C30="Lặp tiếp","Đúng","Chưa đúng"))</f>
        <v/>
      </c>
      <c r="E30" s="34" t="inlineStr">
        <is>
          <t>50</t>
        </is>
      </c>
    </row>
    <row r="31" ht="33" customHeight="1" s="27">
      <c r="A31" s="35" t="inlineStr">
        <is>
          <t>4.15</t>
        </is>
      </c>
      <c r="B31" s="34" t="inlineStr">
        <is>
          <t>Khi Lặp tiếp, đòn nào làm trước?  (chọn: Sửa câu lệnh / Đổi mô hình / Đổi kiến trúc)</t>
        </is>
      </c>
      <c r="C31" s="41" t="inlineStr">
        <is>
          <t>Sửa câu lệnh</t>
        </is>
      </c>
      <c r="D31" s="39">
        <f>IF(C31="","",IF(C31="Sửa câu lệnh","Đúng","Chưa đúng"))</f>
        <v/>
      </c>
      <c r="E31" s="34" t="inlineStr">
        <is>
          <t>50</t>
        </is>
      </c>
    </row>
    <row r="33" ht="18" customHeight="1" s="27">
      <c r="A33" s="35" t="inlineStr">
        <is>
          <t>Số câu đúng</t>
        </is>
      </c>
      <c r="B33" s="37" t="n"/>
      <c r="C33" s="42">
        <f>COUNTIF(D17:D31,"Đúng")</f>
        <v/>
      </c>
      <c r="D33" s="34" t="inlineStr">
        <is>
          <t>/ 15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11">
    <mergeCell ref="A4:E4"/>
    <mergeCell ref="A2:E2"/>
    <mergeCell ref="A33:B33"/>
    <mergeCell ref="A11:B11"/>
    <mergeCell ref="A10:B10"/>
    <mergeCell ref="A5:E5"/>
    <mergeCell ref="A14:E14"/>
    <mergeCell ref="A9:B9"/>
    <mergeCell ref="A6:E6"/>
    <mergeCell ref="A8:B8"/>
    <mergeCell ref="A12:B12"/>
  </mergeCells>
  <dataValidations count="15">
    <dataValidation sqref="C17" showDropDown="0" showInputMessage="0" showErrorMessage="0" allowBlank="1" type="list" errorStyle="stop" operator="between">
      <formula1>_ds!$G$1:$G$3</formula1>
      <formula2>0</formula2>
    </dataValidation>
    <dataValidation sqref="C18" showDropDown="0" showInputMessage="0" showErrorMessage="0" allowBlank="1" type="list" errorStyle="stop" operator="between">
      <formula1>_ds!$G$1:$G$3</formula1>
      <formula2>0</formula2>
    </dataValidation>
    <dataValidation sqref="C19" showDropDown="0" showInputMessage="0" showErrorMessage="0" allowBlank="1" type="list" errorStyle="stop" operator="between">
      <formula1>_ds!$G$1:$G$3</formula1>
      <formula2>0</formula2>
    </dataValidation>
    <dataValidation sqref="C20" showDropDown="0" showInputMessage="0" showErrorMessage="0" allowBlank="1" type="list" errorStyle="stop" operator="between">
      <formula1>_ds!$H$1:$H$3</formula1>
      <formula2>0</formula2>
    </dataValidation>
    <dataValidation sqref="C21" showDropDown="0" showInputMessage="0" showErrorMessage="0" allowBlank="1" type="list" errorStyle="stop" operator="between">
      <formula1>_ds!$H$1:$H$3</formula1>
      <formula2>0</formula2>
    </dataValidation>
    <dataValidation sqref="C22" showDropDown="0" showInputMessage="0" showErrorMessage="0" allowBlank="1" type="list" errorStyle="stop" operator="between">
      <formula1>_ds!$H$1:$H$3</formula1>
      <formula2>0</formula2>
    </dataValidation>
    <dataValidation sqref="C23" showDropDown="0" showInputMessage="0" showErrorMessage="0" allowBlank="1" type="list" errorStyle="stop" operator="between">
      <formula1>_ds!$H$1:$H$3</formula1>
      <formula2>0</formula2>
    </dataValidation>
    <dataValidation sqref="C24" showDropDown="0" showInputMessage="0" showErrorMessage="0" allowBlank="1" type="list" errorStyle="stop" operator="between">
      <formula1>_ds!$H$1:$H$3</formula1>
      <formula2>0</formula2>
    </dataValidation>
    <dataValidation sqref="C25" showDropDown="0" showInputMessage="0" showErrorMessage="0" allowBlank="1" type="list" errorStyle="stop" operator="between">
      <formula1>_ds!$H$1:$H$3</formula1>
      <formula2>0</formula2>
    </dataValidation>
    <dataValidation sqref="C26" showDropDown="0" showInputMessage="0" showErrorMessage="0" allowBlank="1" type="list" errorStyle="stop" operator="between">
      <formula1>_ds!$I$1:$I$3</formula1>
      <formula2>0</formula2>
    </dataValidation>
    <dataValidation sqref="C27" showDropDown="0" showInputMessage="0" showErrorMessage="0" allowBlank="1" type="list" errorStyle="stop" operator="between">
      <formula1>_ds!$I$1:$I$3</formula1>
      <formula2>0</formula2>
    </dataValidation>
    <dataValidation sqref="C28" showDropDown="0" showInputMessage="0" showErrorMessage="0" allowBlank="1" type="list" errorStyle="stop" operator="between">
      <formula1>_ds!$I$1:$I$3</formula1>
      <formula2>0</formula2>
    </dataValidation>
    <dataValidation sqref="C29" showDropDown="0" showInputMessage="0" showErrorMessage="0" allowBlank="1" type="list" errorStyle="stop" operator="between">
      <formula1>_ds!$B$1:$B$3</formula1>
      <formula2>0</formula2>
    </dataValidation>
    <dataValidation sqref="C30" showDropDown="0" showInputMessage="0" showErrorMessage="0" allowBlank="1" type="list" errorStyle="stop" operator="between">
      <formula1>_ds!$J$1:$J$3</formula1>
      <formula2>0</formula2>
    </dataValidation>
    <dataValidation sqref="C31" showDropDown="0" showInputMessage="0" showErrorMessage="0" allowBlank="1" type="list" errorStyle="stop" operator="between">
      <formula1>_ds!$K$1:$K$3</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E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26" min="1" max="1"/>
    <col width="70" customWidth="1" style="26" min="2" max="2"/>
    <col width="22" customWidth="1" style="26" min="3" max="3"/>
    <col width="14" customWidth="1" style="26" min="4" max="4"/>
    <col width="13" customWidth="1" style="26" min="5" max="5"/>
  </cols>
  <sheetData>
    <row r="1" ht="17.35" customHeight="1" s="27">
      <c r="A1" s="28" t="inlineStr">
        <is>
          <t>Bài 5 · Hiệu chỉnh giám khảo AI (10 phút) · sau Phần 06 · trang 51–59</t>
        </is>
      </c>
    </row>
    <row r="2" ht="18" customHeight="1" s="27">
      <c r="A2" s="29" t="inlineStr">
        <is>
          <t>Làm cá nhân, không tính điểm. Điền ô vàng ở cột C; cột D tự báo kết quả.</t>
        </is>
      </c>
    </row>
    <row r="4" ht="18" customHeight="1" s="27">
      <c r="A4" s="31" t="inlineStr">
        <is>
          <t>Tiêu chí: "Đạt = ghi nhận cảm xúc của khách TRƯỚC khi xử lý. Nhắc lại sự việc chưa phải là ghi nhận cảm xúc."</t>
        </is>
      </c>
    </row>
    <row r="5" ht="18" customHeight="1" s="27">
      <c r="A5" s="31" t="inlineStr">
        <is>
          <t>Chị Ngân (chuyên gia) và giám khảo AI cùng chấm 12 tin. Đ = Đạt, K = Không đạt. Ngưỡng đủ tin chốt trước: TPR và TNR đều từ 85% trở lên.</t>
        </is>
      </c>
    </row>
    <row r="6" ht="33" customHeight="1" s="27">
      <c r="A6" s="31" t="inlineStr">
        <is>
          <t>TPR = số tin cả hai cùng Đạt ÷ số tin chuyên gia chấm Đạt. TNR = số tin cả hai cùng Không đạt ÷ số tin chuyên gia chấm Không đạt (trang 53).</t>
        </is>
      </c>
    </row>
    <row r="8" ht="18" customHeight="1" s="27">
      <c r="A8" s="33" t="inlineStr">
        <is>
          <t>Tin</t>
        </is>
      </c>
      <c r="B8" s="33" t="inlineStr">
        <is>
          <t>Chuyên gia (chị Ngân)</t>
        </is>
      </c>
      <c r="C8" s="33" t="inlineStr">
        <is>
          <t>Giám khảo AI</t>
        </is>
      </c>
    </row>
    <row r="9" ht="18" customHeight="1" s="27">
      <c r="A9" s="34" t="inlineStr">
        <is>
          <t>1</t>
        </is>
      </c>
      <c r="B9" s="34" t="inlineStr">
        <is>
          <t>Đ</t>
        </is>
      </c>
      <c r="C9" s="34" t="inlineStr">
        <is>
          <t>Đ</t>
        </is>
      </c>
    </row>
    <row r="10" ht="18" customHeight="1" s="27">
      <c r="A10" s="34" t="inlineStr">
        <is>
          <t>2</t>
        </is>
      </c>
      <c r="B10" s="34" t="inlineStr">
        <is>
          <t>Đ</t>
        </is>
      </c>
      <c r="C10" s="34" t="inlineStr">
        <is>
          <t>Đ</t>
        </is>
      </c>
    </row>
    <row r="11" ht="18" customHeight="1" s="27">
      <c r="A11" s="34" t="inlineStr">
        <is>
          <t>3</t>
        </is>
      </c>
      <c r="B11" s="34" t="inlineStr">
        <is>
          <t>K</t>
        </is>
      </c>
      <c r="C11" s="34" t="inlineStr">
        <is>
          <t>Đ</t>
        </is>
      </c>
    </row>
    <row r="12" ht="18" customHeight="1" s="27">
      <c r="A12" s="34" t="inlineStr">
        <is>
          <t>4</t>
        </is>
      </c>
      <c r="B12" s="34" t="inlineStr">
        <is>
          <t>Đ</t>
        </is>
      </c>
      <c r="C12" s="34" t="inlineStr">
        <is>
          <t>Đ</t>
        </is>
      </c>
    </row>
    <row r="13" ht="18" customHeight="1" s="27">
      <c r="A13" s="34" t="inlineStr">
        <is>
          <t>5</t>
        </is>
      </c>
      <c r="B13" s="34" t="inlineStr">
        <is>
          <t>Đ</t>
        </is>
      </c>
      <c r="C13" s="34" t="inlineStr">
        <is>
          <t>K</t>
        </is>
      </c>
    </row>
    <row r="14" ht="18" customHeight="1" s="27">
      <c r="A14" s="34" t="inlineStr">
        <is>
          <t>6</t>
        </is>
      </c>
      <c r="B14" s="34" t="inlineStr">
        <is>
          <t>K</t>
        </is>
      </c>
      <c r="C14" s="34" t="inlineStr">
        <is>
          <t>K</t>
        </is>
      </c>
    </row>
    <row r="15" ht="18" customHeight="1" s="27">
      <c r="A15" s="34" t="inlineStr">
        <is>
          <t>7</t>
        </is>
      </c>
      <c r="B15" s="34" t="inlineStr">
        <is>
          <t>Đ</t>
        </is>
      </c>
      <c r="C15" s="34" t="inlineStr">
        <is>
          <t>Đ</t>
        </is>
      </c>
    </row>
    <row r="16" ht="18" customHeight="1" s="27">
      <c r="A16" s="34" t="inlineStr">
        <is>
          <t>8</t>
        </is>
      </c>
      <c r="B16" s="34" t="inlineStr">
        <is>
          <t>K</t>
        </is>
      </c>
      <c r="C16" s="34" t="inlineStr">
        <is>
          <t>Đ</t>
        </is>
      </c>
    </row>
    <row r="17" ht="18" customHeight="1" s="27">
      <c r="A17" s="34" t="inlineStr">
        <is>
          <t>9</t>
        </is>
      </c>
      <c r="B17" s="34" t="inlineStr">
        <is>
          <t>Đ</t>
        </is>
      </c>
      <c r="C17" s="34" t="inlineStr">
        <is>
          <t>Đ</t>
        </is>
      </c>
    </row>
    <row r="18" ht="18" customHeight="1" s="27">
      <c r="A18" s="34" t="inlineStr">
        <is>
          <t>10</t>
        </is>
      </c>
      <c r="B18" s="34" t="inlineStr">
        <is>
          <t>K</t>
        </is>
      </c>
      <c r="C18" s="34" t="inlineStr">
        <is>
          <t>K</t>
        </is>
      </c>
    </row>
    <row r="19" ht="18" customHeight="1" s="27">
      <c r="A19" s="34" t="inlineStr">
        <is>
          <t>11</t>
        </is>
      </c>
      <c r="B19" s="34" t="inlineStr">
        <is>
          <t>Đ</t>
        </is>
      </c>
      <c r="C19" s="34" t="inlineStr">
        <is>
          <t>Đ</t>
        </is>
      </c>
    </row>
    <row r="20" ht="18" customHeight="1" s="27">
      <c r="A20" s="34" t="inlineStr">
        <is>
          <t>12</t>
        </is>
      </c>
      <c r="B20" s="34" t="inlineStr">
        <is>
          <t>Đ</t>
        </is>
      </c>
      <c r="C20" s="34" t="inlineStr">
        <is>
          <t>Đ</t>
        </is>
      </c>
    </row>
    <row r="22" ht="33" customHeight="1" s="27">
      <c r="A22" s="31" t="inlineStr">
        <is>
          <t>Câu 5.10: A. Đạt ngưỡng, đưa giám khảo vào dùng.  ·  B. Chưa đạt vì TNR thấp: siết định nghĩa Không đạt, thêm 3–4 ví dụ trượt sát ranh, chấm lại.  ·  C. Chưa đạt vì TPR thấp: thêm ví dụ Đạt sát ranh.</t>
        </is>
      </c>
    </row>
    <row r="24" ht="18" customHeight="1" s="27">
      <c r="A24" s="33" t="inlineStr">
        <is>
          <t>Câu</t>
        </is>
      </c>
      <c r="B24" s="33" t="inlineStr">
        <is>
          <t>Đề</t>
        </is>
      </c>
      <c r="C24" s="33" t="inlineStr">
        <is>
          <t>Trả lời</t>
        </is>
      </c>
      <c r="D24" s="33" t="inlineStr">
        <is>
          <t>Kiểm tra</t>
        </is>
      </c>
      <c r="E24" s="33" t="inlineStr">
        <is>
          <t>Trang</t>
        </is>
      </c>
    </row>
    <row r="25" ht="18" customHeight="1" s="27">
      <c r="A25" s="35" t="inlineStr">
        <is>
          <t>5.1</t>
        </is>
      </c>
      <c r="B25" s="34" t="inlineStr">
        <is>
          <t>Chuyên gia chấm Đạt bao nhiêu tin?</t>
        </is>
      </c>
      <c r="C25" s="38" t="n">
        <v>8</v>
      </c>
      <c r="D25" s="39">
        <f>IF(C25="","",IF(ISNUMBER(C25),IF(ABS(C25-8)&lt;=0.01,"Đúng","Chưa đúng"),"Gõ một số"))</f>
        <v/>
      </c>
      <c r="E25" s="34" t="inlineStr">
        <is>
          <t>53</t>
        </is>
      </c>
    </row>
    <row r="26" ht="18" customHeight="1" s="27">
      <c r="A26" s="35" t="inlineStr">
        <is>
          <t>5.2</t>
        </is>
      </c>
      <c r="B26" s="34" t="inlineStr">
        <is>
          <t>Giám khảo chấm Đạt bao nhiêu tin?</t>
        </is>
      </c>
      <c r="C26" s="38" t="n">
        <v>9</v>
      </c>
      <c r="D26" s="39">
        <f>IF(C26="","",IF(ISNUMBER(C26),IF(ABS(C26-9)&lt;=0.01,"Đúng","Chưa đúng"),"Gõ một số"))</f>
        <v/>
      </c>
      <c r="E26" s="34" t="inlineStr">
        <is>
          <t>53</t>
        </is>
      </c>
    </row>
    <row r="27" ht="18" customHeight="1" s="27">
      <c r="A27" s="35" t="inlineStr">
        <is>
          <t>5.3</t>
        </is>
      </c>
      <c r="B27" s="34" t="inlineStr">
        <is>
          <t>Số tin hai bên khớp nhau?</t>
        </is>
      </c>
      <c r="C27" s="38" t="n">
        <v>9</v>
      </c>
      <c r="D27" s="39">
        <f>IF(C27="","",IF(ISNUMBER(C27),IF(ABS(C27-9)&lt;=0.01,"Đúng","Chưa đúng"),"Gõ một số"))</f>
        <v/>
      </c>
      <c r="E27" s="34" t="inlineStr">
        <is>
          <t>53</t>
        </is>
      </c>
    </row>
    <row r="28" ht="18" customHeight="1" s="27">
      <c r="A28" s="35" t="inlineStr">
        <is>
          <t>5.4</t>
        </is>
      </c>
      <c r="B28" s="34" t="inlineStr">
        <is>
          <t>Ô "cả hai Đạt" (nhận đúng ca đạt) có bao nhiêu tin?</t>
        </is>
      </c>
      <c r="C28" s="38" t="n">
        <v>7</v>
      </c>
      <c r="D28" s="39">
        <f>IF(C28="","",IF(ISNUMBER(C28),IF(ABS(C28-7)&lt;=0.01,"Đúng","Chưa đúng"),"Gõ một số"))</f>
        <v/>
      </c>
      <c r="E28" s="34" t="inlineStr">
        <is>
          <t>53</t>
        </is>
      </c>
    </row>
    <row r="29" ht="18" customHeight="1" s="27">
      <c r="A29" s="35" t="inlineStr">
        <is>
          <t>5.5</t>
        </is>
      </c>
      <c r="B29" s="34" t="inlineStr">
        <is>
          <t>Ô "giám khảo Đạt, chuyên gia Không đạt" (cho qua lỗi) có bao nhiêu tin?</t>
        </is>
      </c>
      <c r="C29" s="38" t="n">
        <v>2</v>
      </c>
      <c r="D29" s="39">
        <f>IF(C29="","",IF(ISNUMBER(C29),IF(ABS(C29-2)&lt;=0.01,"Đúng","Chưa đúng"),"Gõ một số"))</f>
        <v/>
      </c>
      <c r="E29" s="34" t="inlineStr">
        <is>
          <t>53</t>
        </is>
      </c>
    </row>
    <row r="30" ht="18" customHeight="1" s="27">
      <c r="A30" s="35" t="inlineStr">
        <is>
          <t>5.6</t>
        </is>
      </c>
      <c r="B30" s="34" t="inlineStr">
        <is>
          <t>Ô "giám khảo Không đạt, chuyên gia Đạt" (chặn nhầm) có bao nhiêu tin?</t>
        </is>
      </c>
      <c r="C30" s="38" t="n">
        <v>1</v>
      </c>
      <c r="D30" s="39">
        <f>IF(C30="","",IF(ISNUMBER(C30),IF(ABS(C30-1)&lt;=0.01,"Đúng","Chưa đúng"),"Gõ một số"))</f>
        <v/>
      </c>
      <c r="E30" s="34" t="inlineStr">
        <is>
          <t>53</t>
        </is>
      </c>
    </row>
    <row r="31" ht="18" customHeight="1" s="27">
      <c r="A31" s="35" t="inlineStr">
        <is>
          <t>5.7</t>
        </is>
      </c>
      <c r="B31" s="34" t="inlineStr">
        <is>
          <t>Ô "cả hai Không đạt" (bắt đúng ca trượt) có bao nhiêu tin?</t>
        </is>
      </c>
      <c r="C31" s="38" t="n">
        <v>2</v>
      </c>
      <c r="D31" s="39">
        <f>IF(C31="","",IF(ISNUMBER(C31),IF(ABS(C31-2)&lt;=0.01,"Đúng","Chưa đúng"),"Gõ một số"))</f>
        <v/>
      </c>
      <c r="E31" s="34" t="inlineStr">
        <is>
          <t>53</t>
        </is>
      </c>
    </row>
    <row r="32" ht="18" customHeight="1" s="27">
      <c r="A32" s="35" t="inlineStr">
        <is>
          <t>5.8</t>
        </is>
      </c>
      <c r="B32" s="34" t="inlineStr">
        <is>
          <t>TPR là bao nhiêu? (gõ kèm %, 1 chữ số thập phân)</t>
        </is>
      </c>
      <c r="C32" s="44" t="n">
        <v>0.875</v>
      </c>
      <c r="D32" s="39">
        <f>IF(C32="","",IF(ISNUMBER(C32),IF(OR(ABS(C32-0.875)&lt;=0.006,ABS(C32-87.5)&lt;=0.6),"Đúng","Chưa đúng"),"Gõ một số"))</f>
        <v/>
      </c>
      <c r="E32" s="34" t="inlineStr">
        <is>
          <t>53</t>
        </is>
      </c>
    </row>
    <row r="33" ht="18" customHeight="1" s="27">
      <c r="A33" s="35" t="inlineStr">
        <is>
          <t>5.9</t>
        </is>
      </c>
      <c r="B33" s="34" t="inlineStr">
        <is>
          <t>TNR là bao nhiêu? (gõ kèm %)</t>
        </is>
      </c>
      <c r="C33" s="40" t="n">
        <v>0.5</v>
      </c>
      <c r="D33" s="39">
        <f>IF(C33="","",IF(ISNUMBER(C33),IF(OR(ABS(C33-0.5)&lt;=0.006,ABS(C33-50)&lt;=0.6),"Đúng","Chưa đúng"),"Gõ một số"))</f>
        <v/>
      </c>
      <c r="E33" s="34" t="inlineStr">
        <is>
          <t>53</t>
        </is>
      </c>
    </row>
    <row r="34" ht="18" customHeight="1" s="27">
      <c r="A34" s="35" t="inlineStr">
        <is>
          <t>5.10</t>
        </is>
      </c>
      <c r="B34" s="34" t="inlineStr">
        <is>
          <t>Với ngưỡng 85%, kết luận nào đúng?</t>
        </is>
      </c>
      <c r="C34" s="41" t="inlineStr">
        <is>
          <t>B</t>
        </is>
      </c>
      <c r="D34" s="39">
        <f>IF(C34="","",IF(C34="B","Đúng","Chưa đúng"))</f>
        <v/>
      </c>
      <c r="E34" s="34" t="inlineStr">
        <is>
          <t>56</t>
        </is>
      </c>
    </row>
    <row r="35" ht="18" customHeight="1" s="27">
      <c r="A35" s="35" t="inlineStr">
        <is>
          <t>5.11</t>
        </is>
      </c>
      <c r="B35" s="34" t="inlineStr">
        <is>
          <t>Ô nào nguy hiểm nhất?  (chọn: Cho qua lỗi / Chặn nhầm)</t>
        </is>
      </c>
      <c r="C35" s="41" t="inlineStr">
        <is>
          <t>Cho qua lỗi</t>
        </is>
      </c>
      <c r="D35" s="39">
        <f>IF(C35="","",IF(C35="Cho qua lỗi","Đúng","Chưa đúng"))</f>
        <v/>
      </c>
      <c r="E35" s="34" t="inlineStr">
        <is>
          <t>53</t>
        </is>
      </c>
    </row>
    <row r="36" ht="63" customHeight="1" s="27">
      <c r="A36" s="35" t="inlineStr">
        <is>
          <t>5.12</t>
        </is>
      </c>
      <c r="B36" s="34" t="inlineStr">
        <is>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is>
      </c>
      <c r="C36" s="45" t="n">
        <v>0.4</v>
      </c>
      <c r="D36" s="39">
        <f>IF(C36="","",IF(ISNUMBER(C36),IF(ABS(C36-0.4)&lt;=0.006,"Đúng","Chưa đúng"),"Gõ một số"))</f>
        <v/>
      </c>
      <c r="E36" s="34" t="inlineStr">
        <is>
          <t>55</t>
        </is>
      </c>
    </row>
    <row r="37" ht="33" customHeight="1" s="27">
      <c r="A37" s="35" t="inlineStr">
        <is>
          <t>5.13</t>
        </is>
      </c>
      <c r="B37" s="34" t="inlineStr">
        <is>
          <t>Sau 3 vòng: tập hiệu chỉnh TPR 90%, TNR 89%; tập kiểm tra giữ riêng TPR 88%, TNR 85%. Chênh lớn nhất giữa hai tập là bao nhiêu điểm?</t>
        </is>
      </c>
      <c r="C37" s="38" t="n">
        <v>4</v>
      </c>
      <c r="D37" s="39">
        <f>IF(C37="","",IF(ISNUMBER(C37),IF(ABS(C37-4)&lt;=0.01,"Đúng","Chưa đúng"),"Gõ một số"))</f>
        <v/>
      </c>
      <c r="E37" s="34" t="inlineStr">
        <is>
          <t>56</t>
        </is>
      </c>
    </row>
    <row r="38" ht="33" customHeight="1" s="27">
      <c r="A38" s="35" t="inlineStr">
        <is>
          <t>5.14</t>
        </is>
      </c>
      <c r="B38" s="34" t="inlineStr">
        <is>
          <t>Với kết quả câu 5.13, giám khảo đã hiệu chỉnh xong (chênh ≤ 5 điểm, cả hai ≥ 85%) chưa?  (chọn: Có / Không)</t>
        </is>
      </c>
      <c r="C38" s="41" t="inlineStr">
        <is>
          <t>Có</t>
        </is>
      </c>
      <c r="D38" s="39">
        <f>IF(C38="","",IF(C38="Có","Đúng","Chưa đúng"))</f>
        <v/>
      </c>
      <c r="E38" s="34" t="inlineStr">
        <is>
          <t>56</t>
        </is>
      </c>
    </row>
    <row r="39" ht="33" customHeight="1" s="27">
      <c r="A39" s="35" t="inlineStr">
        <is>
          <t>5.15</t>
        </is>
      </c>
      <c r="B39" s="34" t="inlineStr">
        <is>
          <t>"Giám khảo cùng họ mô hình với trợ lý sẽ chấm công bằng hơn vì hiểu cách nó trả lời."  (chọn: Đúng / Sai)</t>
        </is>
      </c>
      <c r="C39" s="41" t="inlineStr">
        <is>
          <t>Sai</t>
        </is>
      </c>
      <c r="D39" s="39">
        <f>IF(C39="","",IF(C39="Sai","Đúng","Chưa đúng"))</f>
        <v/>
      </c>
      <c r="E39" s="34" t="inlineStr">
        <is>
          <t>55</t>
        </is>
      </c>
    </row>
    <row r="40" ht="18" customHeight="1" s="27">
      <c r="A40" s="35" t="inlineStr">
        <is>
          <t>5.16</t>
        </is>
      </c>
      <c r="B40" s="34" t="inlineStr">
        <is>
          <t>"Cho giám khảo chấm thang 1–10 để kết quả chi tiết hơn."  (chọn: Đúng / Sai)</t>
        </is>
      </c>
      <c r="C40" s="41" t="inlineStr">
        <is>
          <t>Sai</t>
        </is>
      </c>
      <c r="D40" s="39">
        <f>IF(C40="","",IF(C40="Sai","Đúng","Chưa đúng"))</f>
        <v/>
      </c>
      <c r="E40" s="34" t="inlineStr">
        <is>
          <t>52</t>
        </is>
      </c>
    </row>
    <row r="41" ht="18" customHeight="1" s="27">
      <c r="A41" s="35" t="inlineStr">
        <is>
          <t>5.17</t>
        </is>
      </c>
      <c r="B41" s="34" t="inlineStr">
        <is>
          <t>"Dùng 3 giám khảo thì lấy kết luận theo đa số phiếu."  (chọn: Đúng / Sai)</t>
        </is>
      </c>
      <c r="C41" s="41" t="inlineStr">
        <is>
          <t>Sai</t>
        </is>
      </c>
      <c r="D41" s="39">
        <f>IF(C41="","",IF(C41="Sai","Đúng","Chưa đúng"))</f>
        <v/>
      </c>
      <c r="E41" s="34" t="inlineStr">
        <is>
          <t>55</t>
        </is>
      </c>
    </row>
    <row r="42" ht="33" customHeight="1" s="27">
      <c r="A42" s="35" t="inlineStr">
        <is>
          <t>5.18</t>
        </is>
      </c>
      <c r="B42" s="34" t="inlineStr">
        <is>
          <t>"Khi chính các chuyên gia chấm lệch nhau nhiều, phải sửa tiêu chí trước khi nghĩ đến tự động hóa."  (chọn: Đúng / Sai)</t>
        </is>
      </c>
      <c r="C42" s="41" t="inlineStr">
        <is>
          <t>Đúng</t>
        </is>
      </c>
      <c r="D42" s="39">
        <f>IF(C42="","",IF(C42="Đúng","Đúng","Chưa đúng"))</f>
        <v/>
      </c>
      <c r="E42" s="34" t="inlineStr">
        <is>
          <t>58</t>
        </is>
      </c>
    </row>
    <row r="44" ht="18" customHeight="1" s="27">
      <c r="A44" s="35" t="inlineStr">
        <is>
          <t>Số câu đúng</t>
        </is>
      </c>
      <c r="B44" s="37" t="n"/>
      <c r="C44" s="42">
        <f>COUNTIF(D25:D42,"Đúng")</f>
        <v/>
      </c>
      <c r="D44" s="34" t="inlineStr">
        <is>
          <t>/ 18 câu</t>
        </is>
      </c>
    </row>
  </sheetData>
  <sheetProtection selectLockedCells="0" selectUnlockedCells="0" sheet="1" objects="0" insertRows="1" insertHyperlinks="1" autoFilter="1" scenarios="0" formatColumns="1" deleteColumns="1" insertColumns="1" pivotTables="1" deleteRows="1" formatCells="1" formatRows="1" sort="1" password="c716"/>
  <mergeCells count="6">
    <mergeCell ref="A4:E4"/>
    <mergeCell ref="A2:E2"/>
    <mergeCell ref="A5:E5"/>
    <mergeCell ref="A44:B44"/>
    <mergeCell ref="A6:E6"/>
    <mergeCell ref="A22:E22"/>
  </mergeCells>
  <dataValidations count="7">
    <dataValidation sqref="C34" showDropDown="0" showInputMessage="0" showErrorMessage="0" allowBlank="1" type="list" errorStyle="stop" operator="between">
      <formula1>_ds!$B$1:$B$3</formula1>
      <formula2>0</formula2>
    </dataValidation>
    <dataValidation sqref="C35" showDropDown="0" showInputMessage="0" showErrorMessage="0" allowBlank="1" type="list" errorStyle="stop" operator="between">
      <formula1>_ds!$L$1:$L$2</formula1>
      <formula2>0</formula2>
    </dataValidation>
    <dataValidation sqref="C38" showDropDown="0" showInputMessage="0" showErrorMessage="0" allowBlank="1" type="list" errorStyle="stop" operator="between">
      <formula1>_ds!$A$1:$A$2</formula1>
      <formula2>0</formula2>
    </dataValidation>
    <dataValidation sqref="C39" showDropDown="0" showInputMessage="0" showErrorMessage="0" allowBlank="1" type="list" errorStyle="stop" operator="between">
      <formula1>_ds!$M$1:$M$2</formula1>
      <formula2>0</formula2>
    </dataValidation>
    <dataValidation sqref="C40" showDropDown="0" showInputMessage="0" showErrorMessage="0" allowBlank="1" type="list" errorStyle="stop" operator="between">
      <formula1>_ds!$M$1:$M$2</formula1>
      <formula2>0</formula2>
    </dataValidation>
    <dataValidation sqref="C41" showDropDown="0" showInputMessage="0" showErrorMessage="0" allowBlank="1" type="list" errorStyle="stop" operator="between">
      <formula1>_ds!$M$1:$M$2</formula1>
      <formula2>0</formula2>
    </dataValidation>
    <dataValidation sqref="C42" showDropDown="0" showInputMessage="0" showErrorMessage="0" allowBlank="1" type="list" errorStyle="stop" operator="between">
      <formula1>_ds!$M$1:$M$2</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G1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26" min="1" max="1"/>
    <col width="34" customWidth="1" style="26" min="2" max="2"/>
    <col width="40" customWidth="1" style="26" min="3" max="3"/>
    <col width="34" customWidth="1" style="26" min="4" max="4"/>
    <col width="22" customWidth="1" style="26" min="5" max="5"/>
    <col width="16" customWidth="1" style="26" min="6" max="7"/>
  </cols>
  <sheetData>
    <row r="1" ht="17.35" customHeight="1" s="27">
      <c r="A1" s="28" t="inlineStr">
        <is>
          <t>Xưởng · Bộ đánh giá cho trợ lý đổi trả Mộc (50 phút, làm theo nhóm, có chấm điểm)</t>
        </is>
      </c>
    </row>
    <row r="2" ht="33" customHeight="1" s="27">
      <c r="A2" s="29" t="inlineStr">
        <is>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is>
      </c>
    </row>
    <row r="3" ht="18" customHeight="1" s="27">
      <c r="A3" s="35" t="inlineStr">
        <is>
          <t>Tên nhóm và thành viên:</t>
        </is>
      </c>
      <c r="B3" s="37" t="n"/>
      <c r="C3" s="41" t="inlineStr">
        <is>
          <t>Nhóm Lạc Lối: Ninh Quang Minh (NT - 2A202602432), Trần Phạm Thái Vũ (2A202602695), Đinh Trường An (2A202602393), Hoàng Anh Tài (2A202602612), Nguyễn Anh Dũng (2A202602554)</t>
        </is>
      </c>
      <c r="D3" s="46" t="n"/>
      <c r="E3" s="46" t="n"/>
      <c r="F3" s="46" t="n"/>
      <c r="G3" s="47" t="n"/>
    </row>
    <row r="5" ht="18" customHeight="1" s="27">
      <c r="A5" s="48" t="inlineStr">
        <is>
          <t>X1 · Đơn vị công việc AI (4 phút · 1 điểm)</t>
        </is>
      </c>
    </row>
    <row r="6" ht="18" customHeight="1" s="27">
      <c r="A6" s="31" t="inlineStr">
        <is>
          <t>Viết 1 câu: Đọc [đầu vào] → [đầu ra kiểm được], [ràng buộc]. Khác với câu 1.8 của Bài 1: chọn việc SOẠN CÂU TRẢ LỜI đổi trả, không phải việc gắn nhãn.</t>
        </is>
      </c>
    </row>
    <row r="7" ht="61.5" customHeight="1" s="27">
      <c r="A7" s="35" t="inlineStr">
        <is>
          <t>Câu của nhóm</t>
        </is>
      </c>
      <c r="B7" s="37" t="n"/>
      <c r="C7" s="41" t="inlineStr">
        <is>
          <t>Đọc tin nhắn yêu cầu của khách và lịch sử đơn hàng từ cơ sở dữ liệu → soạn câu trả lời hướng dẫn đổi trả theo đúng điều kiện CS-1/CS-2 hoặc chuyển nhân viên theo CS-3/CS-6 nếu là hàng lỗi hoặc khách yêu cầu gặp người, hoàn tất dưới 2 giây và không bịa mã đơn.</t>
        </is>
      </c>
      <c r="D7" s="46" t="n"/>
      <c r="E7" s="46" t="n"/>
      <c r="F7" s="47" t="n"/>
      <c r="G7" s="39">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
      </c>
    </row>
    <row r="9" ht="18" customHeight="1" s="27">
      <c r="A9" s="48" t="inlineStr">
        <is>
          <t>X2 · Chiều và phễu (6 phút · 1 điểm)</t>
        </is>
      </c>
    </row>
    <row r="10" ht="18" customHeight="1" s="27">
      <c r="A10" s="31" t="inlineStr">
        <is>
          <t>Chọn 3 chiều qua phép thử (ghi rõ hành vi đúng đổi thế nào), số giá trị mỗi chiều, số tổ hợp phi lý loại đi, số tình huống chọn, số cách diễn đạt. File tự tính số đầu vào.</t>
        </is>
      </c>
    </row>
    <row r="11" ht="18" customHeight="1" s="27">
      <c r="A11" s="33" t="inlineStr">
        <is>
          <t>#</t>
        </is>
      </c>
      <c r="B11" s="33" t="inlineStr">
        <is>
          <t>Chiều</t>
        </is>
      </c>
      <c r="C11" s="33" t="inlineStr">
        <is>
          <t>Số giá trị</t>
        </is>
      </c>
      <c r="D11" s="33" t="inlineStr">
        <is>
          <t>Hành vi đúng đổi thế nào khi đổi giá trị (phép thử, trang 26)</t>
        </is>
      </c>
      <c r="E11" s="43" t="n"/>
      <c r="F11" s="43" t="n"/>
      <c r="G11" s="37" t="n"/>
    </row>
    <row r="12" ht="33.75" customHeight="1" s="27">
      <c r="A12" s="34" t="inlineStr">
        <is>
          <t>1</t>
        </is>
      </c>
      <c r="B12" s="41" t="inlineStr">
        <is>
          <t>Tình trạng thời hạn và lỗi của đơn hàng</t>
        </is>
      </c>
      <c r="C12" s="38" t="n">
        <v>3</v>
      </c>
      <c r="D12" s="41" t="inlineStr">
        <is>
          <t>Trong 7 ngày cho đổi/trả miễn phí lần đầu (CS-1, CS-2); quá 7 ngày từ chối; hàng lỗi trong 30 ngày gọi chuyen_nhan_vien (CS-3)</t>
        </is>
      </c>
      <c r="E12" s="46" t="n"/>
      <c r="F12" s="46" t="n"/>
      <c r="G12" s="47" t="n"/>
    </row>
    <row r="13" ht="33.75" customHeight="1" s="27">
      <c r="A13" s="34" t="inlineStr">
        <is>
          <t>2</t>
        </is>
      </c>
      <c r="B13" s="41" t="inlineStr">
        <is>
          <t>Mức độ cung cấp thông tin mã đơn</t>
        </is>
      </c>
      <c r="C13" s="38" t="n">
        <v>3</v>
      </c>
      <c r="D13" s="41" t="inlineStr">
        <is>
          <t>Có mã đơn thì gọi tra_cuu_don; thiếu mã đơn thì hỏi xin mã đơn/SĐT (CS-5); tin nhắn mơ hồ thì yêu cầu làm rõ thông tin</t>
        </is>
      </c>
      <c r="E13" s="46" t="n"/>
      <c r="F13" s="46" t="n"/>
      <c r="G13" s="47" t="n"/>
    </row>
    <row r="14" ht="33.75" customHeight="1" s="27">
      <c r="A14" s="34" t="inlineStr">
        <is>
          <t>3</t>
        </is>
      </c>
      <c r="B14" s="41" t="inlineStr">
        <is>
          <t>Yêu cầu can thiệp con người</t>
        </is>
      </c>
      <c r="C14" s="38" t="n">
        <v>2</v>
      </c>
      <c r="D14" s="41" t="inlineStr">
        <is>
          <t>Khách trao đổi bình thường thì bot giải quyết; khách khiếu nại gay gắt đòi gặp người thì bắt buộc gọi chuyen_nhan_vien (CS-6)</t>
        </is>
      </c>
      <c r="E14" s="46" t="n"/>
      <c r="F14" s="46" t="n"/>
      <c r="G14" s="47" t="n"/>
    </row>
    <row r="15" ht="18" customHeight="1" s="27">
      <c r="A15" s="35" t="inlineStr">
        <is>
          <t>Số tổ hợp (tự tính)</t>
        </is>
      </c>
      <c r="B15" s="37" t="n"/>
      <c r="C15" s="49">
        <f>IF(COUNT(C12:C14)&lt;3,"",PRODUCT(C12:C14))</f>
        <v/>
      </c>
    </row>
    <row r="16" ht="18" customHeight="1" s="27">
      <c r="A16" s="35" t="inlineStr">
        <is>
          <t>Số tổ hợp phi lý loại đi</t>
        </is>
      </c>
      <c r="B16" s="37" t="n"/>
      <c r="C16" s="38" t="n">
        <v>3</v>
      </c>
    </row>
    <row r="17" ht="18" customHeight="1" s="27">
      <c r="A17" s="35" t="inlineStr">
        <is>
          <t>Còn lại (tự tính)</t>
        </is>
      </c>
      <c r="B17" s="37" t="n"/>
      <c r="C17" s="49">
        <f>IF(OR(C15="",C16=""),"",C15-C16)</f>
        <v/>
      </c>
    </row>
    <row r="18" ht="18" customHeight="1" s="27">
      <c r="A18" s="35" t="inlineStr">
        <is>
          <t>Số tình huống chọn để thử</t>
        </is>
      </c>
      <c r="B18" s="37" t="n"/>
      <c r="C18" s="38" t="n">
        <v>15</v>
      </c>
      <c r="D18" s="39">
        <f>IF(OR(C18="",C17=""),"",IF(C18&gt;C17,"Chọn nhiều hơn số còn lại","Đạt"))</f>
        <v/>
      </c>
    </row>
    <row r="19" ht="18" customHeight="1" s="27">
      <c r="A19" s="35" t="inlineStr">
        <is>
          <t>Số cách diễn đạt mỗi tình huống</t>
        </is>
      </c>
      <c r="B19" s="37" t="n"/>
      <c r="C19" s="38" t="n">
        <v>3</v>
      </c>
    </row>
    <row r="20" ht="18" customHeight="1" s="27">
      <c r="A20" s="35" t="inlineStr">
        <is>
          <t>Số đầu vào của bộ đề (tự tính)</t>
        </is>
      </c>
      <c r="B20" s="37" t="n"/>
      <c r="C20" s="42">
        <f>IF(OR(C18="",C19=""),"",C18*C19)</f>
        <v/>
      </c>
      <c r="D20" s="39">
        <f>IF(C20="","",IF(AND(C20&gt;=40,C20&lt;=50),"Đạt","Nên trong khoảng 40–50 (trang 29)"))</f>
        <v/>
      </c>
    </row>
    <row r="22" ht="18" customHeight="1" s="27">
      <c r="A22" s="48" t="inlineStr">
        <is>
          <t>X3 · 8 tình huống (9 phút · 2 điểm)</t>
        </is>
      </c>
    </row>
    <row r="23" ht="18" customHeight="1" s="27">
      <c r="A23" s="31" t="inlineStr">
        <is>
          <t>8 tình huống cho trợ lý Mộc: tin nhắn của khách, hành vi đúng mong đợi (dẫn chính sách CS-1 đến CS-6), loại tình huống. Có đủ 3 loại; ít nhất 3 tình huống thử thách.</t>
        </is>
      </c>
    </row>
    <row r="24" ht="18" customHeight="1" s="27">
      <c r="A24" s="33" t="inlineStr">
        <is>
          <t>#</t>
        </is>
      </c>
      <c r="B24" s="33" t="inlineStr">
        <is>
          <t>Tin nhắn của khách</t>
        </is>
      </c>
      <c r="C24" s="33" t="inlineStr">
        <is>
          <t>Hành vi đúng mong đợi (dẫn CS-1 đến CS-6)</t>
        </is>
      </c>
      <c r="D24" s="37" t="n"/>
      <c r="E24" s="33" t="inlineStr">
        <is>
          <t>Loại tình huống</t>
        </is>
      </c>
    </row>
    <row r="25" ht="48" customHeight="1" s="27">
      <c r="A25" s="34" t="inlineStr">
        <is>
          <t>1</t>
        </is>
      </c>
      <c r="B25" s="41" t="inlineStr">
        <is>
          <t>Mình vừa nhận áo thun hôm qua đơn MS-2001, bị chật vai muốn đổi sang size XL.</t>
        </is>
      </c>
      <c r="C25" s="41" t="inlineStr">
        <is>
          <t>Gọi tra_cuu_don(MS-2001), kiểm tra đơn nhận ngày 15/10 (trong hạn 7 ngày), hướng dẫn đổi size XL miễn phí lần đầu theo CS-1 và tạo yêu cầu đổi hàng.</t>
        </is>
      </c>
      <c r="D25" s="47" t="n"/>
      <c r="E25" s="41" t="inlineStr">
        <is>
          <t>Đại diện</t>
        </is>
      </c>
    </row>
    <row r="26" ht="48" customHeight="1" s="27">
      <c r="A26" s="34" t="inlineStr">
        <is>
          <t>2</t>
        </is>
      </c>
      <c r="B26" s="41" t="inlineStr">
        <is>
          <t>Shop ơi mình nhận quần jean đơn MS-2002 được 4 ngày rồi, mặc không hợp muốn trả hàng hoàn tiền.</t>
        </is>
      </c>
      <c r="C26" s="41" t="inlineStr">
        <is>
          <t>Gọi tra_cuu_don(MS-2002), xác định trong 7 ngày, hướng dẫn gửi trả và thông báo tiền hoàn trong 3–5 ngày làm việc sau khi kho nhận hàng theo CS-2.</t>
        </is>
      </c>
      <c r="D26" s="47" t="n"/>
      <c r="E26" s="41" t="inlineStr">
        <is>
          <t>Đại diện</t>
        </is>
      </c>
    </row>
    <row r="27" ht="48" customHeight="1" s="27">
      <c r="A27" s="34" t="inlineStr">
        <is>
          <t>3</t>
        </is>
      </c>
      <c r="B27" s="41" t="inlineStr">
        <is>
          <t>Kiểm tra giúp mình đơn hàng MS-2003 đã gửi đến bưu cục nào rồi nhé.</t>
        </is>
      </c>
      <c r="C27" s="41" t="inlineStr">
        <is>
          <t>Gọi tra_cuu_don(MS-2003), trả về trạng thái đơn hàng và mốc giao vận thực tế theo CS-4 mà không tạo yêu cầu đổi trả.</t>
        </is>
      </c>
      <c r="D27" s="47" t="n"/>
      <c r="E27" s="41" t="inlineStr">
        <is>
          <t>Đại diện</t>
        </is>
      </c>
    </row>
    <row r="28" ht="48" customHeight="1" s="27">
      <c r="A28" s="34" t="inlineStr">
        <is>
          <t>4</t>
        </is>
      </c>
      <c r="B28" s="41" t="inlineStr">
        <is>
          <t>Cái váy hôm trước ship tới mình mặc không vừa, đổi cho mình cái khác nhé.</t>
        </is>
      </c>
      <c r="C28" s="41" t="inlineStr">
        <is>
          <t>Không tự ý đoán đơn hàng; nhắn hỏi xin mã đơn hàng hoặc số điện thoại đặt hàng của khách theo CS-5 trước khi cam kết đổi.</t>
        </is>
      </c>
      <c r="D28" s="47" t="n"/>
      <c r="E28" s="41" t="inlineStr">
        <is>
          <t>Thử thách</t>
        </is>
      </c>
    </row>
    <row r="29" ht="48" customHeight="1" s="27">
      <c r="A29" s="34" t="inlineStr">
        <is>
          <t>5</t>
        </is>
      </c>
      <c r="B29" s="41" t="inlineStr">
        <is>
          <t>Mình đặt 2 món trong đơn MS-2005: áo polo muốn đổi màu trắng, còn đôi tất muốn trả lại hoàn tiền.</t>
        </is>
      </c>
      <c r="C29" s="41" t="inlineStr">
        <is>
          <t>Gọi tra_cuu_don(MS-2005), tách riêng 2 luồng xử lý: áp dụng CS-1 cho áo polo (đổi màu) và CS-2 cho đôi tất (trả hàng hoàn tiền), không gộp sai chính sách.</t>
        </is>
      </c>
      <c r="D29" s="47" t="n"/>
      <c r="E29" s="41" t="inlineStr">
        <is>
          <t>Thử thách</t>
        </is>
      </c>
    </row>
    <row r="30" ht="48" customHeight="1" s="27">
      <c r="A30" s="34" t="inlineStr">
        <is>
          <t>6</t>
        </is>
      </c>
      <c r="B30" s="41" t="inlineStr">
        <is>
          <t>Giày MS-2006 mới mang 10 ngày đã bung hết keo mũi, làm ăn chán quá, cho gặp quản lý giải quyết ngay!</t>
        </is>
      </c>
      <c r="C30" s="41" t="inlineStr">
        <is>
          <t>Ghi nhận cảm xúc bức xúc của khách, xác nhận trường hợp hàng lỗi trong 30 ngày (CS-3) và khách muốn gặp người (CS-6); gọi ngay chuyen_nhan_vien kèm lý do lỗi sản phẩm và không tự ý hứa mức đền bù.</t>
        </is>
      </c>
      <c r="D30" s="47" t="n"/>
      <c r="E30" s="41" t="inlineStr">
        <is>
          <t>Thử thách</t>
        </is>
      </c>
    </row>
    <row r="31" ht="48" customHeight="1" s="27">
      <c r="A31" s="34" t="inlineStr">
        <is>
          <t>7</t>
        </is>
      </c>
      <c r="B31" s="41" t="inlineStr">
        <is>
          <t>Đơn MS-1980 mình nhận từ 25 ngày trước, giờ bận quá không mặc đến muốn trả lại lấy tiền.</t>
        </is>
      </c>
      <c r="C31" s="41" t="inlineStr">
        <is>
          <t>Gọi tra_cuu_don(MS-1980), xác định đơn đã quá hạn 7 ngày theo CS-2; từ chối trả hàng hoàn tiền lịch sự, giải thích rõ quy định thời hạn 7 ngày, tuyệt đối không hứa hẹn hoàn tiền sai (tránh lặp lại lỗi tuần trước).</t>
        </is>
      </c>
      <c r="D31" s="47" t="n"/>
      <c r="E31" s="41" t="inlineStr">
        <is>
          <t>Hồi quy nghiêm trọng</t>
        </is>
      </c>
    </row>
    <row r="32" ht="48" customHeight="1" s="27">
      <c r="A32" s="34" t="inlineStr">
        <is>
          <t>8</t>
        </is>
      </c>
      <c r="B32" s="41" t="inlineStr">
        <is>
          <t>Đơn MS-1995 nhận 20 ngày áo bị rách đường chỉ may, shop đền tiền ngay cho mình vào số tài khoản này đi.</t>
        </is>
      </c>
      <c r="C32" s="41" t="inlineStr">
        <is>
          <t>Gọi tra_cuu_don(MS-1995), xác nhận hàng lỗi còn trong hạn 30 ngày theo CS-3; gọi chuyen_nhan_vien để người có thẩm quyền xử lý, kiên quyết không tự tiện cam kết chuyển khoản đền bù theo yêu cầu khách.</t>
        </is>
      </c>
      <c r="D32" s="47" t="n"/>
      <c r="E32" s="41" t="inlineStr">
        <is>
          <t>Hồi quy nghiêm trọng</t>
        </is>
      </c>
    </row>
    <row r="33" ht="18" customHeight="1" s="27">
      <c r="B33" s="35" t="inlineStr">
        <is>
          <t>Số tình huống đại diện</t>
        </is>
      </c>
      <c r="C33" s="49">
        <f>COUNTIF(E25:E32,"Đại diện")</f>
        <v/>
      </c>
    </row>
    <row r="34" ht="18" customHeight="1" s="27">
      <c r="B34" s="35" t="inlineStr">
        <is>
          <t>Số tình huống thử thách</t>
        </is>
      </c>
      <c r="C34" s="49">
        <f>COUNTIF(E25:E32,"Thử thách")</f>
        <v/>
      </c>
    </row>
    <row r="35" ht="18" customHeight="1" s="27">
      <c r="B35" s="35" t="inlineStr">
        <is>
          <t>Số tình huống hồi quy nghiêm trọng</t>
        </is>
      </c>
      <c r="C35" s="49">
        <f>COUNTIF(E25:E32,"Hồi quy nghiêm trọng")</f>
        <v/>
      </c>
    </row>
    <row r="36" ht="18" customHeight="1" s="27">
      <c r="B36" s="35" t="inlineStr">
        <is>
          <t>Kiểm tra</t>
        </is>
      </c>
      <c r="C36" s="39">
        <f>IF(COUNTA(E25:E32)=0,"",IF(COUNTA(B25:B32)&lt;8,"Chưa đủ 8 tình huống",IF(COUNTIF(E25:E32,"Đại diện")*COUNTIF(E25:E32,"Thử thách")*COUNTIF(E25:E32,"Hồi quy nghiêm trọng")=0,"Thiếu một loại",IF(COUNTIF(E25:E32,"Thử thách")&lt;3,"Cần ít nhất 3 tình huống thử thách","Đạt"))))</f>
        <v/>
      </c>
    </row>
    <row r="38" ht="18" customHeight="1" s="27">
      <c r="A38" s="48" t="inlineStr">
        <is>
          <t>X4 · Đọc 3 vết thực thi mới (7 phút · 1,5 điểm)</t>
        </is>
      </c>
    </row>
    <row r="39" ht="18" customHeight="1" s="27">
      <c r="A39" s="31" t="inlineStr">
        <is>
          <t>Với W1, W2, W3: bước sai đầu tiên, mã lỗi gốc, nên sửa ở đâu.</t>
        </is>
      </c>
    </row>
    <row r="40" ht="18" customHeight="1" s="27">
      <c r="A40" s="33" t="inlineStr">
        <is>
          <t>Vết</t>
        </is>
      </c>
      <c r="B40" s="33" t="inlineStr">
        <is>
          <t>Bước · loại · nội dung</t>
        </is>
      </c>
      <c r="C40" s="43" t="n"/>
      <c r="D40" s="43" t="n"/>
      <c r="E40" s="43" t="n"/>
      <c r="F40" s="43" t="n"/>
      <c r="G40" s="37" t="n"/>
    </row>
    <row r="41" ht="18" customHeight="1" s="27">
      <c r="A41" s="35" t="inlineStr">
        <is>
          <t>W1</t>
        </is>
      </c>
      <c r="B41" s="34" t="inlineStr">
        <is>
          <t>1 · Khách: "Mình muốn đổi đơn MS-1120 sang màu đen."</t>
        </is>
      </c>
      <c r="C41" s="43" t="n"/>
      <c r="D41" s="43" t="n"/>
      <c r="E41" s="43" t="n"/>
      <c r="F41" s="43" t="n"/>
      <c r="G41" s="37" t="n"/>
    </row>
    <row r="42" ht="18" customHeight="1" s="27">
      <c r="A42" s="35" t="n"/>
      <c r="B42" s="34" t="inlineStr">
        <is>
          <t>2 · Phân loại ý định: Đổi hàng</t>
        </is>
      </c>
      <c r="C42" s="43" t="n"/>
      <c r="D42" s="43" t="n"/>
      <c r="E42" s="43" t="n"/>
      <c r="F42" s="43" t="n"/>
      <c r="G42" s="37" t="n"/>
    </row>
    <row r="43" ht="18" customHeight="1" s="27">
      <c r="A43" s="35" t="n"/>
      <c r="B43" s="34" t="inlineStr">
        <is>
          <t>3 · Công cụ: tao_yeu_cau_doi_tra(MS-1120, đổi màu) (không gọi tra_cuu_don trước)</t>
        </is>
      </c>
      <c r="C43" s="43" t="n"/>
      <c r="D43" s="43" t="n"/>
      <c r="E43" s="43" t="n"/>
      <c r="F43" s="43" t="n"/>
      <c r="G43" s="37" t="n"/>
    </row>
    <row r="44" ht="18" customHeight="1" s="27">
      <c r="A44" s="35" t="n"/>
      <c r="B44" s="34" t="inlineStr">
        <is>
          <t>4 · Trả lời: "Dạ shop đã tạo yêu cầu đổi sang màu đen cho bạn ạ."</t>
        </is>
      </c>
      <c r="C44" s="43" t="n"/>
      <c r="D44" s="43" t="n"/>
      <c r="E44" s="43" t="n"/>
      <c r="F44" s="43" t="n"/>
      <c r="G44" s="37" t="n"/>
    </row>
    <row r="45" ht="18" customHeight="1" s="27">
      <c r="A45" s="35" t="inlineStr">
        <is>
          <t>W2</t>
        </is>
      </c>
      <c r="B45" s="34" t="inlineStr">
        <is>
          <t>1 · Khách: "Đơn hôm trước á, mình không lấy nữa." (không có mã đơn)</t>
        </is>
      </c>
      <c r="C45" s="43" t="n"/>
      <c r="D45" s="43" t="n"/>
      <c r="E45" s="43" t="n"/>
      <c r="F45" s="43" t="n"/>
      <c r="G45" s="37" t="n"/>
    </row>
    <row r="46" ht="18" customHeight="1" s="27">
      <c r="A46" s="35" t="n"/>
      <c r="B46" s="34" t="inlineStr">
        <is>
          <t>2 · Phân loại ý định: Trả hàng</t>
        </is>
      </c>
      <c r="C46" s="43" t="n"/>
      <c r="D46" s="43" t="n"/>
      <c r="E46" s="43" t="n"/>
      <c r="F46" s="43" t="n"/>
      <c r="G46" s="37" t="n"/>
    </row>
    <row r="47" ht="18" customHeight="1" s="27">
      <c r="A47" s="35" t="n"/>
      <c r="B47" s="34" t="inlineStr">
        <is>
          <t>3 · Công cụ: tra_cuu_don(số điện thoại của khách) → 2 đơn: MS-1187, MS-1188</t>
        </is>
      </c>
      <c r="C47" s="43" t="n"/>
      <c r="D47" s="43" t="n"/>
      <c r="E47" s="43" t="n"/>
      <c r="F47" s="43" t="n"/>
      <c r="G47" s="37" t="n"/>
    </row>
    <row r="48" ht="18" customHeight="1" s="27">
      <c r="A48" s="35" t="n"/>
      <c r="B48" s="34" t="inlineStr">
        <is>
          <t>4 · Công cụ: tao_yeu_cau_doi_tra(MS-1188, trả hàng)</t>
        </is>
      </c>
      <c r="C48" s="43" t="n"/>
      <c r="D48" s="43" t="n"/>
      <c r="E48" s="43" t="n"/>
      <c r="F48" s="43" t="n"/>
      <c r="G48" s="37" t="n"/>
    </row>
    <row r="49" ht="18" customHeight="1" s="27">
      <c r="A49" s="35" t="n"/>
      <c r="B49" s="34" t="inlineStr">
        <is>
          <t>5 · Trả lời: "Dạ shop đã tạo yêu cầu trả đơn MS-1188 ạ."</t>
        </is>
      </c>
      <c r="C49" s="43" t="n"/>
      <c r="D49" s="43" t="n"/>
      <c r="E49" s="43" t="n"/>
      <c r="F49" s="43" t="n"/>
      <c r="G49" s="37" t="n"/>
    </row>
    <row r="50" ht="18" customHeight="1" s="27">
      <c r="A50" s="35" t="inlineStr">
        <is>
          <t>W3</t>
        </is>
      </c>
      <c r="B50" s="34" t="inlineStr">
        <is>
          <t>1 · Khách: "Mình nhắn 3 lần rồi, áo rách, cho mình nói chuyện với người thật." Mã MS-1001</t>
        </is>
      </c>
      <c r="C50" s="43" t="n"/>
      <c r="D50" s="43" t="n"/>
      <c r="E50" s="43" t="n"/>
      <c r="F50" s="43" t="n"/>
      <c r="G50" s="37" t="n"/>
    </row>
    <row r="51" ht="18" customHeight="1" s="27">
      <c r="A51" s="35" t="n"/>
      <c r="B51" s="34" t="inlineStr">
        <is>
          <t>2 · Phân loại ý định: Trả hàng · dấu hiệu hàng lỗi: có</t>
        </is>
      </c>
      <c r="C51" s="43" t="n"/>
      <c r="D51" s="43" t="n"/>
      <c r="E51" s="43" t="n"/>
      <c r="F51" s="43" t="n"/>
      <c r="G51" s="37" t="n"/>
    </row>
    <row r="52" ht="18" customHeight="1" s="27">
      <c r="A52" s="35" t="n"/>
      <c r="B52" s="34" t="inlineStr">
        <is>
          <t>3 · Công cụ: tra_cuu_don(MS-1001) → nhận hàng 5 ngày trước</t>
        </is>
      </c>
      <c r="C52" s="43" t="n"/>
      <c r="D52" s="43" t="n"/>
      <c r="E52" s="43" t="n"/>
      <c r="F52" s="43" t="n"/>
      <c r="G52" s="37" t="n"/>
    </row>
    <row r="53" ht="18" customHeight="1" s="27">
      <c r="A53" s="35" t="n"/>
      <c r="B53" s="34" t="inlineStr">
        <is>
          <t>4 · Trả lời: "Dạ bạn có thể gửi trả trong 7 ngày, shop hoàn tiền 3–5 ngày làm việc ạ." (không gọi chuyen_nhan_vien)</t>
        </is>
      </c>
      <c r="C53" s="43" t="n"/>
      <c r="D53" s="43" t="n"/>
      <c r="E53" s="43" t="n"/>
      <c r="F53" s="43" t="n"/>
      <c r="G53" s="37" t="n"/>
    </row>
    <row r="55" ht="18" customHeight="1" s="27">
      <c r="A55" s="33" t="inlineStr">
        <is>
          <t>Vết</t>
        </is>
      </c>
      <c r="B55" s="33" t="inlineStr">
        <is>
          <t>Bước sai đầu tiên (số)</t>
        </is>
      </c>
      <c r="C55" s="33" t="inlineStr">
        <is>
          <t>Mã lỗi gốc</t>
        </is>
      </c>
      <c r="D55" s="33" t="inlineStr">
        <is>
          <t>Nên sửa ở đâu (1 câu)</t>
        </is>
      </c>
      <c r="E55" s="37" t="n"/>
      <c r="F55" s="33" t="inlineStr">
        <is>
          <t>Kiểm tra bước</t>
        </is>
      </c>
      <c r="G55" s="33" t="inlineStr">
        <is>
          <t>Kiểm tra mã</t>
        </is>
      </c>
    </row>
    <row r="56" ht="61.5" customHeight="1" s="27">
      <c r="A56" s="35" t="inlineStr">
        <is>
          <t>W1</t>
        </is>
      </c>
      <c r="B56" s="38" t="n">
        <v>3</v>
      </c>
      <c r="C56" s="41" t="inlineStr">
        <is>
          <t>missing_lookup</t>
        </is>
      </c>
      <c r="D56" s="41" t="inlineStr">
        <is>
          <t>Bổ sung ràng buộc trong câu lệnh và workflow hệ thống: bắt buộc gọi công cụ tra_cuu_don kiểm tra ngày nhận và trạng thái đơn trước khi kích hoạt tao_yeu_cau_doi_tra theo đúng quy định CS-4.</t>
        </is>
      </c>
      <c r="E56" s="47" t="n"/>
      <c r="F56" s="39">
        <f>IF(B56="","",IF(B56=3,"Đúng","Chưa đúng"))</f>
        <v/>
      </c>
      <c r="G56" s="39">
        <f>IF(C56="","",IF(C56="missing_lookup","Đúng","Chưa đúng"))</f>
        <v/>
      </c>
    </row>
    <row r="57" ht="61.5" customHeight="1" s="27">
      <c r="A57" s="35" t="inlineStr">
        <is>
          <t>W2</t>
        </is>
      </c>
      <c r="B57" s="38" t="n">
        <v>2</v>
      </c>
      <c r="C57" s="41" t="inlineStr">
        <is>
          <t>wrong_intent</t>
        </is>
      </c>
      <c r="D57" s="41" t="inlineStr">
        <is>
          <t>Sửa câu lệnh phân loại ý định: tin nhắn thiếu mã đơn hoặc chưa rõ đơn cụ thể phải gán nhãn Cần làm rõ và hỏi lại mã đơn hoặc xác nhận số điện thoại theo CS-5, cấm tự ý chọn 1 trong các đơn tìm thấy.</t>
        </is>
      </c>
      <c r="E57" s="47" t="n"/>
      <c r="F57" s="39">
        <f>IF(B57="","",IF(B57=2,"Đúng","Chưa đúng"))</f>
        <v/>
      </c>
      <c r="G57" s="39">
        <f>IF(C57="","",IF(C57="wrong_intent","Đúng","Chưa đúng"))</f>
        <v/>
      </c>
    </row>
    <row r="58" ht="61.5" customHeight="1" s="27">
      <c r="A58" s="35" t="inlineStr">
        <is>
          <t>W3</t>
        </is>
      </c>
      <c r="B58" s="38" t="n">
        <v>4</v>
      </c>
      <c r="C58" s="41" t="inlineStr">
        <is>
          <t>missing_escalation</t>
        </is>
      </c>
      <c r="D58" s="41" t="inlineStr">
        <is>
          <t>Sửa câu lệnh và logic điều hướng: khi tin nhắn có dấu hiệu hàng lỗi (CS-3) hoặc khách yêu cầu gặp người thật (CS-6), hệ thống bắt buộc phải gọi công cụ chuyen_nhan_vien kèm tóm tắt ngữ cảnh, nghiêm cấm tự hứa đổi trả thông thường.</t>
        </is>
      </c>
      <c r="E58" s="47" t="n"/>
      <c r="F58" s="39">
        <f>IF(B58="","",IF(B58=4,"Đúng","Chưa đúng"))</f>
        <v/>
      </c>
      <c r="G58" s="39">
        <f>IF(C58="","",IF(C58="missing_escalation","Đúng","Chưa đúng"))</f>
        <v/>
      </c>
    </row>
    <row r="60" ht="18" customHeight="1" s="27">
      <c r="A60" s="48" t="inlineStr">
        <is>
          <t>X5 · 4 tiêu chí nhị phân (9 phút · 2 điểm)</t>
        </is>
      </c>
    </row>
    <row r="61" ht="18" customHeight="1" s="27">
      <c r="A61" s="31" t="inlineStr">
        <is>
          <t>Mỗi tiêu chí: tên, Đạt khi (điều kiện nhìn thấy được), 1 ví dụ Đạt sát ranh, 1 ví dụ Không đạt sát ranh, bộ chấm (theo căn cứ kiểm chứng), ngưỡng.</t>
        </is>
      </c>
    </row>
    <row r="62" ht="18" customHeight="1" s="27">
      <c r="A62" s="33" t="inlineStr">
        <is>
          <t>#</t>
        </is>
      </c>
      <c r="B62" s="33" t="inlineStr">
        <is>
          <t>Tên tiêu chí</t>
        </is>
      </c>
      <c r="C62" s="33" t="inlineStr">
        <is>
          <t>Đạt khi (điều kiện nhìn thấy được)</t>
        </is>
      </c>
      <c r="D62" s="33" t="inlineStr">
        <is>
          <t>Ví dụ ĐẠT sát ranh</t>
        </is>
      </c>
      <c r="E62" s="33" t="inlineStr">
        <is>
          <t>Ví dụ KHÔNG ĐẠT sát ranh</t>
        </is>
      </c>
      <c r="F62" s="33" t="inlineStr">
        <is>
          <t>Bộ chấm</t>
        </is>
      </c>
      <c r="G62" s="33" t="inlineStr">
        <is>
          <t>Ngưỡng</t>
        </is>
      </c>
    </row>
    <row r="63" ht="78" customHeight="1" s="27">
      <c r="A63" s="35" t="inlineStr">
        <is>
          <t>TC1</t>
        </is>
      </c>
      <c r="B63" s="41" t="inlineStr">
        <is>
          <t>Tra cứu đơn trước khi cam kết</t>
        </is>
      </c>
      <c r="C63" s="41" t="inlineStr">
        <is>
          <t>Đạt khi có bản ghi gọi công cụ tra_cuu_don thành công trước mọi lời hứa hẹn đổi trả hoặc từ chối</t>
        </is>
      </c>
      <c r="D63" s="41" t="inlineStr">
        <is>
          <t>Hệ thống tra_cuu_don(MS-1102) trả về đơn 2 ngày trước, sau đó trợ lý mới phản hồi hướng dẫn thủ tục đổi size</t>
        </is>
      </c>
      <c r="E63" s="41" t="inlineStr">
        <is>
          <t>Trợ lý khẳng định luôn 'đơn bạn được đổi nha' ở câu đầu rồi 5 giây sau mới gửi kèm kết quả tra_cuu_don</t>
        </is>
      </c>
      <c r="F63" s="41" t="inlineStr">
        <is>
          <t>Mã lệnh</t>
        </is>
      </c>
      <c r="G63" s="41" t="inlineStr">
        <is>
          <t>100%</t>
        </is>
      </c>
    </row>
    <row r="64" ht="78" customHeight="1" s="27">
      <c r="A64" s="35" t="inlineStr">
        <is>
          <t>TC2</t>
        </is>
      </c>
      <c r="B64" s="41" t="inlineStr">
        <is>
          <t>Ghi nhận cảm xúc trước khi xử lý</t>
        </is>
      </c>
      <c r="C64" s="41" t="inlineStr">
        <is>
          <t>Đạt khi câu đầu tiên chứa từ ngữ đồng cảm hoặc xin lỗi trước khi nêu điều khoản chính sách</t>
        </is>
      </c>
      <c r="D64" s="41" t="inlineStr">
        <is>
          <t>Dạ Mộc rất tiếc về trải nghiệm sản phẩm chưa như ý của bạn; để mình kiểm tra đơn hỗ trợ ngay nhé</t>
        </is>
      </c>
      <c r="E64" s="41" t="inlineStr">
        <is>
          <t>Dạ bạn báo áo bị rách nách; theo quy định CS-3 đơn hàng lỗi được hỗ trợ trong 30 ngày</t>
        </is>
      </c>
      <c r="F64" s="41" t="inlineStr">
        <is>
          <t>Giám khảo AI</t>
        </is>
      </c>
      <c r="G64" s="41" t="inlineStr">
        <is>
          <t>≥ 85%</t>
        </is>
      </c>
    </row>
    <row r="65" ht="78" customHeight="1" s="27">
      <c r="A65" s="35" t="inlineStr">
        <is>
          <t>TC3</t>
        </is>
      </c>
      <c r="B65" s="41" t="inlineStr">
        <is>
          <t>Chuyển nhân viên khi vượt thẩm quyền</t>
        </is>
      </c>
      <c r="C65" s="41" t="inlineStr">
        <is>
          <t>Đạt khi có lệnh chuyen_nhan_vien kèm lý do khi phát hiện khiếu nại hàng lỗi hoặc khách yêu cầu gặp người</t>
        </is>
      </c>
      <c r="D65" s="41" t="inlineStr">
        <is>
          <t>Trợ lý ghi nhận áo bung chỉ tại đơn MS-1001 và lập tức kích hoạt chuyen_nhan_vien(ly_do='khach khieu nai hang loi') sau 1 câu an ủi</t>
        </is>
      </c>
      <c r="E65" s="41" t="inlineStr">
        <is>
          <t>Trợ lý khuyên khách tự mang ra thợ may đính lại cúc rồi shop hỗ trợ trừ 20k đơn sau, không gọi chuyen_nhan_vien</t>
        </is>
      </c>
      <c r="F65" s="41" t="inlineStr">
        <is>
          <t>Mã lệnh (lời gọi công cụ) + người kiểm mẫu 10%</t>
        </is>
      </c>
      <c r="G65" s="41" t="inlineStr">
        <is>
          <t>≥ 95%</t>
        </is>
      </c>
    </row>
    <row r="66" ht="78" customHeight="1" s="27">
      <c r="A66" s="35" t="inlineStr">
        <is>
          <t>TC4</t>
        </is>
      </c>
      <c r="B66" s="41" t="inlineStr">
        <is>
          <t>Không bịa thông tin mã đơn</t>
        </is>
      </c>
      <c r="C66" s="41" t="inlineStr">
        <is>
          <t>Đạt khi chuỗi mã đơn trong phản hồi trùng khớp hoàn toàn với mã khách cung cấp hoặc mã từ hệ thống tra cứu</t>
        </is>
      </c>
      <c r="D66" s="41" t="inlineStr">
        <is>
          <t>Khách viết 'đơn MS-1043', trợ lý trích dẫn đúng nguyên văn mã đơn 'MS-1043' để thông báo tiến độ</t>
        </is>
      </c>
      <c r="E66" s="41" t="inlineStr">
        <is>
          <t>Khách không nhắc mã đơn, trợ lý tự động chèn mã giả định 'MS-9999' vào lời chào xác nhận</t>
        </is>
      </c>
      <c r="F66" s="41" t="inlineStr">
        <is>
          <t>Mã lệnh</t>
        </is>
      </c>
      <c r="G66" s="41" t="inlineStr">
        <is>
          <t>100%</t>
        </is>
      </c>
    </row>
    <row r="67" ht="33" customHeight="1" s="27">
      <c r="B67" s="35" t="inlineStr">
        <is>
          <t>Kiểm tra</t>
        </is>
      </c>
      <c r="C67" s="39">
        <f>IF(COUNTA(B63:B66)=0,"",IF(COUNTA(B63:G66)&lt;24,"Còn ô trống",IF(COUNTIF(C63:C66,"*tốt*")+COUNTIF(C63:C66,"*hợp lý*")+COUNTIF(C63:C66,"*phù hợp*")+COUNTIF(C63:C66,"*đầy đủ*")+COUNTIF(C63:C66,"*chính xác*")+COUNTIF(C63:C66,"*hài lòng*")+COUNTIF(C63:C66,"*thân thiện*")&gt;0,"Còn từ mơ hồ ở cột Đạt khi","Đạt")))</f>
        <v/>
      </c>
      <c r="D67" s="36" t="inlineStr">
        <is>
          <t>Từ bị coi là mơ hồ: tốt, hợp lý, phù hợp, đầy đủ, chính xác, hài lòng, thân thiện. Bộ chấm chọn theo căn cứ kiểm chứng (trang 41).</t>
        </is>
      </c>
    </row>
    <row r="69" ht="18" customHeight="1" s="27">
      <c r="A69" s="48" t="inlineStr">
        <is>
          <t>X6 · Hiệu chỉnh giám khảo (4 phút · 1 điểm)</t>
        </is>
      </c>
    </row>
    <row r="70" ht="18" customHeight="1" s="27">
      <c r="A70" s="31" t="inlineStr">
        <is>
          <t>Tiêu chí "Không hứa vượt chính sách", 20 tin, ngưỡng 90% cho cả TPR và TNR. Đếm 4 ô, file tự tính TPR, TNR. Chọn kết luận.</t>
        </is>
      </c>
    </row>
    <row r="71" ht="18" customHeight="1" s="27">
      <c r="A71" s="33" t="inlineStr">
        <is>
          <t>Tin</t>
        </is>
      </c>
      <c r="B71" s="33" t="inlineStr">
        <is>
          <t>Chuyên gia</t>
        </is>
      </c>
      <c r="C71" s="33" t="inlineStr">
        <is>
          <t>Giám khảo AI</t>
        </is>
      </c>
      <c r="D71" s="33" t="inlineStr">
        <is>
          <t>Đếm 4 ô</t>
        </is>
      </c>
      <c r="E71" s="37" t="n"/>
      <c r="F71" s="33" t="inlineStr">
        <is>
          <t>Số tin</t>
        </is>
      </c>
      <c r="G71" s="33" t="inlineStr">
        <is>
          <t>Kiểm tra</t>
        </is>
      </c>
    </row>
    <row r="72" ht="31.5" customHeight="1" s="27">
      <c r="A72" s="34" t="inlineStr">
        <is>
          <t>1</t>
        </is>
      </c>
      <c r="B72" s="34" t="inlineStr">
        <is>
          <t>Đ</t>
        </is>
      </c>
      <c r="C72" s="34" t="inlineStr">
        <is>
          <t>Đ</t>
        </is>
      </c>
      <c r="D72" s="34" t="inlineStr">
        <is>
          <t>Cả hai Đạt</t>
        </is>
      </c>
      <c r="E72" s="37" t="n"/>
      <c r="F72" s="38" t="n">
        <v>12</v>
      </c>
      <c r="G72" s="39">
        <f>IF(F72="","",IF(F72=12,"Đúng","Chưa đúng"))</f>
        <v/>
      </c>
    </row>
    <row r="73" ht="31.5" customHeight="1" s="27">
      <c r="A73" s="34" t="inlineStr">
        <is>
          <t>2</t>
        </is>
      </c>
      <c r="B73" s="34" t="inlineStr">
        <is>
          <t>Đ</t>
        </is>
      </c>
      <c r="C73" s="34" t="inlineStr">
        <is>
          <t>K</t>
        </is>
      </c>
      <c r="D73" s="34" t="inlineStr">
        <is>
          <t>Chuyên gia Đạt, giám khảo Không đạt (chặn nhầm)</t>
        </is>
      </c>
      <c r="E73" s="37" t="n"/>
      <c r="F73" s="38" t="n">
        <v>2</v>
      </c>
      <c r="G73" s="39">
        <f>IF(F73="","",IF(F73=2,"Đúng","Chưa đúng"))</f>
        <v/>
      </c>
    </row>
    <row r="74" ht="31.5" customHeight="1" s="27">
      <c r="A74" s="34" t="inlineStr">
        <is>
          <t>3</t>
        </is>
      </c>
      <c r="B74" s="34" t="inlineStr">
        <is>
          <t>Đ</t>
        </is>
      </c>
      <c r="C74" s="34" t="inlineStr">
        <is>
          <t>Đ</t>
        </is>
      </c>
      <c r="D74" s="34" t="inlineStr">
        <is>
          <t>Chuyên gia Không đạt, giám khảo Đạt (cho qua lỗi)</t>
        </is>
      </c>
      <c r="E74" s="37" t="n"/>
      <c r="F74" s="38" t="n">
        <v>0</v>
      </c>
      <c r="G74" s="39">
        <f>IF(F74="","",IF(F74=0,"Đúng","Chưa đúng"))</f>
        <v/>
      </c>
    </row>
    <row r="75" ht="31.5" customHeight="1" s="27">
      <c r="A75" s="34" t="inlineStr">
        <is>
          <t>4</t>
        </is>
      </c>
      <c r="B75" s="34" t="inlineStr">
        <is>
          <t>K</t>
        </is>
      </c>
      <c r="C75" s="34" t="inlineStr">
        <is>
          <t>K</t>
        </is>
      </c>
      <c r="D75" s="34" t="inlineStr">
        <is>
          <t>Cả hai Không đạt</t>
        </is>
      </c>
      <c r="E75" s="37" t="n"/>
      <c r="F75" s="38" t="n">
        <v>6</v>
      </c>
      <c r="G75" s="39">
        <f>IF(F75="","",IF(F75=6,"Đúng","Chưa đúng"))</f>
        <v/>
      </c>
    </row>
    <row r="76" ht="18" customHeight="1" s="27">
      <c r="A76" s="34" t="inlineStr">
        <is>
          <t>5</t>
        </is>
      </c>
      <c r="B76" s="34" t="inlineStr">
        <is>
          <t>Đ</t>
        </is>
      </c>
      <c r="C76" s="34" t="inlineStr">
        <is>
          <t>Đ</t>
        </is>
      </c>
      <c r="D76" s="35" t="inlineStr">
        <is>
          <t>TPR = cả hai Đạt ÷ chuyên gia Đạt (tự tính)</t>
        </is>
      </c>
      <c r="E76" s="37" t="n"/>
      <c r="F76" s="50">
        <f>IF(OR(F72="",F73=""),"",F72/(F72+F73))</f>
        <v/>
      </c>
      <c r="G76" s="39">
        <f>IF(F76="","",IF(F76&gt;=0.9,"Đạt ngưỡng","Dưới ngưỡng"))</f>
        <v/>
      </c>
    </row>
    <row r="77" ht="18" customHeight="1" s="27">
      <c r="A77" s="34" t="inlineStr">
        <is>
          <t>6</t>
        </is>
      </c>
      <c r="B77" s="34" t="inlineStr">
        <is>
          <t>Đ</t>
        </is>
      </c>
      <c r="C77" s="34" t="inlineStr">
        <is>
          <t>Đ</t>
        </is>
      </c>
      <c r="D77" s="35" t="inlineStr">
        <is>
          <t>TNR = cả hai Không đạt ÷ chuyên gia Không đạt (tự tính)</t>
        </is>
      </c>
      <c r="E77" s="37" t="n"/>
      <c r="F77" s="50">
        <f>IF(OR(F74="",F75=""),"",F75/(F74+F75))</f>
        <v/>
      </c>
      <c r="G77" s="39">
        <f>IF(F77="","",IF(F77&gt;=0.9,"Đạt ngưỡng","Dưới ngưỡng"))</f>
        <v/>
      </c>
    </row>
    <row r="78" ht="18" customHeight="1" s="27">
      <c r="A78" s="34" t="inlineStr">
        <is>
          <t>7</t>
        </is>
      </c>
      <c r="B78" s="34" t="inlineStr">
        <is>
          <t>K</t>
        </is>
      </c>
      <c r="C78" s="34" t="inlineStr">
        <is>
          <t>K</t>
        </is>
      </c>
      <c r="D78" s="34" t="inlineStr">
        <is>
          <t>Ngưỡng chốt trước (tiêu chí rủi ro cao)</t>
        </is>
      </c>
      <c r="E78" s="37" t="n"/>
      <c r="F78" s="51" t="n">
        <v>0.9</v>
      </c>
    </row>
    <row r="79" ht="18" customHeight="1" s="27">
      <c r="A79" s="34" t="inlineStr">
        <is>
          <t>8</t>
        </is>
      </c>
      <c r="B79" s="34" t="inlineStr">
        <is>
          <t>Đ</t>
        </is>
      </c>
      <c r="C79" s="34" t="inlineStr">
        <is>
          <t>Đ</t>
        </is>
      </c>
      <c r="D79" s="34" t="inlineStr">
        <is>
          <t>Tổng 4 ô phải bằng 20</t>
        </is>
      </c>
      <c r="E79" s="37" t="n"/>
      <c r="F79" s="49">
        <f>SUM(F72:F75)</f>
        <v/>
      </c>
    </row>
    <row r="80" ht="18" customHeight="1" s="27">
      <c r="A80" s="34" t="inlineStr">
        <is>
          <t>9</t>
        </is>
      </c>
      <c r="B80" s="34" t="inlineStr">
        <is>
          <t>Đ</t>
        </is>
      </c>
      <c r="C80" s="34" t="inlineStr">
        <is>
          <t>Đ</t>
        </is>
      </c>
    </row>
    <row r="81" ht="31.5" customHeight="1" s="27">
      <c r="A81" s="34" t="inlineStr">
        <is>
          <t>10</t>
        </is>
      </c>
      <c r="B81" s="34" t="inlineStr">
        <is>
          <t>Đ</t>
        </is>
      </c>
      <c r="C81" s="34" t="inlineStr">
        <is>
          <t>K</t>
        </is>
      </c>
      <c r="D81" s="34" t="inlineStr">
        <is>
          <t>A. Đạt cả hai ngưỡng, đưa giám khảo vào dùng.</t>
        </is>
      </c>
      <c r="E81" s="43" t="n"/>
      <c r="F81" s="43" t="n"/>
      <c r="G81" s="37" t="n"/>
    </row>
    <row r="82" ht="33" customHeight="1" s="27">
      <c r="A82" s="34" t="inlineStr">
        <is>
          <t>11</t>
        </is>
      </c>
      <c r="B82" s="34" t="inlineStr">
        <is>
          <t>Đ</t>
        </is>
      </c>
      <c r="C82" s="34" t="inlineStr">
        <is>
          <t>Đ</t>
        </is>
      </c>
      <c r="D82" s="34" t="inlineStr">
        <is>
          <t>B. Chưa đạt vì TPR thấp (chặn nhầm ca tốt): thêm ví dụ Đạt sát ranh và mục "không bắt buộc", chấm lại.</t>
        </is>
      </c>
      <c r="E82" s="43" t="n"/>
      <c r="F82" s="43" t="n"/>
      <c r="G82" s="37" t="n"/>
    </row>
    <row r="83" ht="31.5" customHeight="1" s="27">
      <c r="A83" s="34" t="inlineStr">
        <is>
          <t>12</t>
        </is>
      </c>
      <c r="B83" s="34" t="inlineStr">
        <is>
          <t>K</t>
        </is>
      </c>
      <c r="C83" s="34" t="inlineStr">
        <is>
          <t>K</t>
        </is>
      </c>
      <c r="D83" s="34" t="inlineStr">
        <is>
          <t>C. Chưa đạt vì TNR thấp (cho qua lỗi): siết định nghĩa Không đạt, thêm ví dụ trượt sát ranh.</t>
        </is>
      </c>
      <c r="E83" s="43" t="n"/>
      <c r="F83" s="43" t="n"/>
      <c r="G83" s="37" t="n"/>
    </row>
    <row r="84" ht="18" customHeight="1" s="27">
      <c r="A84" s="34" t="inlineStr">
        <is>
          <t>13</t>
        </is>
      </c>
      <c r="B84" s="34" t="inlineStr">
        <is>
          <t>Đ</t>
        </is>
      </c>
      <c r="C84" s="34" t="inlineStr">
        <is>
          <t>Đ</t>
        </is>
      </c>
      <c r="D84" s="35" t="inlineStr">
        <is>
          <t>Kết luận (chọn A, B hoặc C)</t>
        </is>
      </c>
      <c r="E84" s="37" t="n"/>
      <c r="F84" s="41" t="inlineStr">
        <is>
          <t>B</t>
        </is>
      </c>
      <c r="G84" s="39">
        <f>IF(F84="","",IF(F84="B","Đúng","Chưa đúng"))</f>
        <v/>
      </c>
    </row>
    <row r="85" ht="18" customHeight="1" s="27">
      <c r="A85" s="34" t="inlineStr">
        <is>
          <t>14</t>
        </is>
      </c>
      <c r="B85" s="34" t="inlineStr">
        <is>
          <t>Đ</t>
        </is>
      </c>
      <c r="C85" s="34" t="inlineStr">
        <is>
          <t>Đ</t>
        </is>
      </c>
    </row>
    <row r="86" ht="18" customHeight="1" s="27">
      <c r="A86" s="34" t="inlineStr">
        <is>
          <t>15</t>
        </is>
      </c>
      <c r="B86" s="34" t="inlineStr">
        <is>
          <t>K</t>
        </is>
      </c>
      <c r="C86" s="34" t="inlineStr">
        <is>
          <t>K</t>
        </is>
      </c>
    </row>
    <row r="87" ht="18" customHeight="1" s="27">
      <c r="A87" s="34" t="inlineStr">
        <is>
          <t>16</t>
        </is>
      </c>
      <c r="B87" s="34" t="inlineStr">
        <is>
          <t>Đ</t>
        </is>
      </c>
      <c r="C87" s="34" t="inlineStr">
        <is>
          <t>Đ</t>
        </is>
      </c>
    </row>
    <row r="88" ht="18" customHeight="1" s="27">
      <c r="A88" s="34" t="inlineStr">
        <is>
          <t>17</t>
        </is>
      </c>
      <c r="B88" s="34" t="inlineStr">
        <is>
          <t>K</t>
        </is>
      </c>
      <c r="C88" s="34" t="inlineStr">
        <is>
          <t>K</t>
        </is>
      </c>
    </row>
    <row r="89" ht="18" customHeight="1" s="27">
      <c r="A89" s="34" t="inlineStr">
        <is>
          <t>18</t>
        </is>
      </c>
      <c r="B89" s="34" t="inlineStr">
        <is>
          <t>Đ</t>
        </is>
      </c>
      <c r="C89" s="34" t="inlineStr">
        <is>
          <t>Đ</t>
        </is>
      </c>
    </row>
    <row r="90" ht="18" customHeight="1" s="27">
      <c r="A90" s="34" t="inlineStr">
        <is>
          <t>19</t>
        </is>
      </c>
      <c r="B90" s="34" t="inlineStr">
        <is>
          <t>K</t>
        </is>
      </c>
      <c r="C90" s="34" t="inlineStr">
        <is>
          <t>K</t>
        </is>
      </c>
    </row>
    <row r="91" ht="18" customHeight="1" s="27">
      <c r="A91" s="34" t="inlineStr">
        <is>
          <t>20</t>
        </is>
      </c>
      <c r="B91" s="34" t="inlineStr">
        <is>
          <t>Đ</t>
        </is>
      </c>
      <c r="C91" s="34" t="inlineStr">
        <is>
          <t>Đ</t>
        </is>
      </c>
    </row>
    <row r="94" ht="18" customHeight="1" s="27">
      <c r="A94" s="48" t="inlineStr">
        <is>
          <t>X7 · Kết luận có răng (4 phút · 1,5 điểm)</t>
        </is>
      </c>
    </row>
    <row r="95" ht="18" customHeight="1" s="27">
      <c r="A95" s="31" t="inlineStr">
        <is>
          <t>Đọc báo cáo v1.3 / v1.4, chọn Phát hành, Lặp tiếp hay Quay về; viết kế hoạch đi kèm. Trả lời 3 câu về 2 giờ chấm của chuyên gia.</t>
        </is>
      </c>
    </row>
    <row r="96" ht="18" customHeight="1" s="27">
      <c r="A96" s="33" t="inlineStr">
        <is>
          <t>Tiêu chí</t>
        </is>
      </c>
      <c r="B96" s="37" t="n"/>
      <c r="C96" s="33" t="inlineStr">
        <is>
          <t>Bộ chấm</t>
        </is>
      </c>
      <c r="D96" s="33" t="inlineStr">
        <is>
          <t>Ngưỡng</t>
        </is>
      </c>
      <c r="E96" s="33" t="inlineStr">
        <is>
          <t>v1.3</t>
        </is>
      </c>
      <c r="F96" s="33" t="inlineStr">
        <is>
          <t>v1.4</t>
        </is>
      </c>
    </row>
    <row r="97" ht="18" customHeight="1" s="27">
      <c r="A97" s="34" t="inlineStr">
        <is>
          <t>Nhãn ý định đúng</t>
        </is>
      </c>
      <c r="B97" s="37" t="n"/>
      <c r="C97" s="34" t="inlineStr">
        <is>
          <t>Mã lệnh</t>
        </is>
      </c>
      <c r="D97" s="34" t="inlineStr">
        <is>
          <t>≥ 90%</t>
        </is>
      </c>
      <c r="E97" s="34" t="inlineStr">
        <is>
          <t>90%</t>
        </is>
      </c>
      <c r="F97" s="34" t="inlineStr">
        <is>
          <t>94%</t>
        </is>
      </c>
    </row>
    <row r="98" ht="18" customHeight="1" s="27">
      <c r="A98" s="34" t="inlineStr">
        <is>
          <t>Không bịa mã đơn</t>
        </is>
      </c>
      <c r="B98" s="37" t="n"/>
      <c r="C98" s="34" t="inlineStr">
        <is>
          <t>Mã lệnh</t>
        </is>
      </c>
      <c r="D98" s="34" t="inlineStr">
        <is>
          <t>100%</t>
        </is>
      </c>
      <c r="E98" s="34" t="inlineStr">
        <is>
          <t>100%</t>
        </is>
      </c>
      <c r="F98" s="34" t="inlineStr">
        <is>
          <t>100%</t>
        </is>
      </c>
    </row>
    <row r="99" ht="18" customHeight="1" s="27">
      <c r="A99" s="34" t="inlineStr">
        <is>
          <t>Tra cứu trước khi hứa</t>
        </is>
      </c>
      <c r="B99" s="37" t="n"/>
      <c r="C99" s="34" t="inlineStr">
        <is>
          <t>Mã lệnh</t>
        </is>
      </c>
      <c r="D99" s="34" t="inlineStr">
        <is>
          <t>≥ 95%</t>
        </is>
      </c>
      <c r="E99" s="34" t="inlineStr">
        <is>
          <t>92%</t>
        </is>
      </c>
      <c r="F99" s="34" t="inlineStr">
        <is>
          <t>98%</t>
        </is>
      </c>
    </row>
    <row r="100" ht="18" customHeight="1" s="27">
      <c r="A100" s="34" t="inlineStr">
        <is>
          <t>Ghi nhận cảm xúc khách</t>
        </is>
      </c>
      <c r="B100" s="37" t="n"/>
      <c r="C100" s="34" t="inlineStr">
        <is>
          <t>Giám khảo AI đã hiệu chỉnh</t>
        </is>
      </c>
      <c r="D100" s="34" t="inlineStr">
        <is>
          <t>≥ 80%</t>
        </is>
      </c>
      <c r="E100" s="34" t="inlineStr">
        <is>
          <t>84%</t>
        </is>
      </c>
      <c r="F100" s="34" t="inlineStr">
        <is>
          <t>82%</t>
        </is>
      </c>
    </row>
    <row r="101" ht="18" customHeight="1" s="27">
      <c r="A101" s="34" t="inlineStr">
        <is>
          <t>Chuyển nhân viên đúng lúc</t>
        </is>
      </c>
      <c r="B101" s="37" t="n"/>
      <c r="C101" s="34" t="inlineStr">
        <is>
          <t>Người (chuyên gia chấm cả 50 tin)</t>
        </is>
      </c>
      <c r="D101" s="34" t="inlineStr">
        <is>
          <t>≥ 90%</t>
        </is>
      </c>
      <c r="E101" s="34" t="inlineStr">
        <is>
          <t>88%</t>
        </is>
      </c>
      <c r="F101" s="34" t="inlineStr">
        <is>
          <t>92%</t>
        </is>
      </c>
    </row>
    <row r="102" ht="18" customHeight="1" s="27">
      <c r="A102" s="34" t="inlineStr">
        <is>
          <t>Thời gian phản hồi (trung vị)</t>
        </is>
      </c>
      <c r="B102" s="37" t="n"/>
      <c r="C102" s="34" t="inlineStr">
        <is>
          <t>Mã lệnh</t>
        </is>
      </c>
      <c r="D102" s="34" t="inlineStr">
        <is>
          <t>&lt; 2 giây</t>
        </is>
      </c>
      <c r="E102" s="34" t="inlineStr">
        <is>
          <t>1,4 giây</t>
        </is>
      </c>
      <c r="F102" s="34" t="inlineStr">
        <is>
          <t>1,7 giây</t>
        </is>
      </c>
    </row>
    <row r="103" ht="18" customHeight="1" s="27">
      <c r="A103" s="36" t="inlineStr">
        <is>
          <t>Bộ đề 50 tin; ngưỡng chốt trước khi chạy. Quy tắc phát hành (trang 50): mọi tiêu chí đạt ngưỡng và không tiêu chí nào tụt quá 2 điểm so với bản cũ.</t>
        </is>
      </c>
    </row>
    <row r="105" ht="18" customHeight="1" s="27">
      <c r="A105" s="35" t="inlineStr">
        <is>
          <t>Kết luận</t>
        </is>
      </c>
      <c r="B105" s="37" t="n"/>
      <c r="C105" s="41" t="inlineStr">
        <is>
          <t>Phát hành</t>
        </is>
      </c>
      <c r="D105" s="39">
        <f>IF(C105="","",IF(C105="Phát hành","Đúng","Chưa đúng"))</f>
        <v/>
      </c>
    </row>
    <row r="106" ht="78" customHeight="1" s="27">
      <c r="A106" s="35" t="inlineStr">
        <is>
          <t>Kế hoạch đi kèm</t>
        </is>
      </c>
      <c r="B106" s="37" t="n"/>
      <c r="C106" s="41" t="inlineStr">
        <is>
          <t>Lấy mẫu ngẫu nhiên 10% tin thật hàng ngày (~30 tin/ngày) để chuyên gia và giám khảo AI cùng chấm song song. Theo dõi sát 3 tín hiệu trôi: (1) Tỷ lệ tin nhắn mơ hồ tăng vượt 15% (Data Drift); (2) Tỷ lệ gọi chuyen_nhan_vien biến động lệch quá ±5 điểm % so với mốc 92% (Concept Drift); (3) Điểm ghi nhận cảm xúc tụt dưới ngưỡng 80% (Quality Drift). Kích hoạt cảnh báo vàng khi tỷ lệ lỗi vượt 5%/ca trực; cảnh báo đỏ kích hoạt Rollback về v1.3 nếu tra cứu trước khi hứa dưới 95% hoặc thời gian phản hồi vượt 2.0s trong 30 phút liên tục. Chuyên gia CSKH (chị Ngân) và Kỹ sư AI theo dõi Dashboard hàng ngày lúc 17:30 và họp rà soát chất lượng hàng tuần vào thứ Sáu.</t>
        </is>
      </c>
      <c r="D106" s="46" t="n"/>
      <c r="E106" s="46" t="n"/>
      <c r="F106" s="46" t="n"/>
      <c r="G106" s="47" t="n"/>
    </row>
    <row r="107" ht="18" customHeight="1" s="27">
      <c r="C107" s="36" t="inlineStr">
        <is>
          <t>Kế hoạch phải có: lấy mẫu bao nhiêu % tin thật để chấm tiếp, 3 tín hiệu trôi cần nhìn, ngưỡng cảnh báo bằng số, ai xem và bao lâu một lần.</t>
        </is>
      </c>
    </row>
    <row r="109" ht="18" customHeight="1" s="27">
      <c r="A109" s="31" t="inlineStr">
        <is>
          <t>Chuyên gia bỏ 2 giờ chấm 200 ca: 150 Đạt. Giám khảo AI chấm cùng 200 ca, khớp với chuyên gia ở 168 ca (trang 64).</t>
        </is>
      </c>
    </row>
    <row r="110" ht="18" customHeight="1" s="27">
      <c r="A110" s="35" t="inlineStr">
        <is>
          <t>Tỷ lệ đạt nền của hệ thống (gõ kèm %)</t>
        </is>
      </c>
      <c r="B110" s="37" t="n"/>
      <c r="C110" s="40" t="n">
        <v>0.75</v>
      </c>
      <c r="D110" s="39">
        <f>IF(C110="","",IF(ISNUMBER(C110),IF(OR(ABS(C110-0.75)&lt;=0.006,ABS(C110-75)&lt;=0.6),"Đúng","Chưa đúng"),"Gõ một số"))</f>
        <v/>
      </c>
    </row>
    <row r="111" ht="18" customHeight="1" s="27">
      <c r="A111" s="35" t="inlineStr">
        <is>
          <t>Số ca đưa vào bộ chống tái phát</t>
        </is>
      </c>
      <c r="B111" s="37" t="n"/>
      <c r="C111" s="38" t="n">
        <v>50</v>
      </c>
      <c r="D111" s="39">
        <f>IF(C111="","",IF(ISNUMBER(C111),IF(ABS(C111-50)&lt;=0.01,"Đúng","Chưa đúng"),"Gõ một số"))</f>
        <v/>
      </c>
    </row>
    <row r="112" ht="33" customHeight="1" s="27">
      <c r="A112" s="35" t="inlineStr">
        <is>
          <t>Tỷ lệ khớp của giám khảo với chuyên gia (gõ kèm %)</t>
        </is>
      </c>
      <c r="B112" s="37" t="n"/>
      <c r="C112" s="40" t="n">
        <v>0.84</v>
      </c>
      <c r="D112" s="39">
        <f>IF(C112="","",IF(ISNUMBER(C112),IF(OR(ABS(C112-0.84)&lt;=0.006,ABS(C112-84)&lt;=0.6),"Đúng","Chưa đúng"),"Gõ một số"))</f>
        <v/>
      </c>
    </row>
  </sheetData>
  <sheetProtection selectLockedCells="0" selectUnlockedCells="0" sheet="1" objects="0" insertRows="1" insertHyperlinks="1" autoFilter="1" scenarios="0" formatColumns="1" deleteColumns="1" insertColumns="1" pivotTables="1" deleteRows="1" formatCells="1" formatRows="1" sort="1" password="c716"/>
  <mergeCells count="86">
    <mergeCell ref="A15:B15"/>
    <mergeCell ref="A98:B98"/>
    <mergeCell ref="A22:G22"/>
    <mergeCell ref="A109:G109"/>
    <mergeCell ref="D84:E84"/>
    <mergeCell ref="D82:G82"/>
    <mergeCell ref="D77:E77"/>
    <mergeCell ref="A7:B7"/>
    <mergeCell ref="A9:G9"/>
    <mergeCell ref="A39:G39"/>
    <mergeCell ref="A99:B99"/>
    <mergeCell ref="A103:G103"/>
    <mergeCell ref="A101:B101"/>
    <mergeCell ref="D72:E72"/>
    <mergeCell ref="D78:E78"/>
    <mergeCell ref="B45:G45"/>
    <mergeCell ref="C27:D27"/>
    <mergeCell ref="D13:G13"/>
    <mergeCell ref="A17:B17"/>
    <mergeCell ref="D56:E56"/>
    <mergeCell ref="D71:E71"/>
    <mergeCell ref="B47:G47"/>
    <mergeCell ref="A19:B19"/>
    <mergeCell ref="D73:E73"/>
    <mergeCell ref="C28:D28"/>
    <mergeCell ref="A111:B111"/>
    <mergeCell ref="A23:G23"/>
    <mergeCell ref="C30:D30"/>
    <mergeCell ref="A10:G10"/>
    <mergeCell ref="D76:E76"/>
    <mergeCell ref="B49:G49"/>
    <mergeCell ref="D75:E75"/>
    <mergeCell ref="A105:B105"/>
    <mergeCell ref="B51:G51"/>
    <mergeCell ref="A94:G94"/>
    <mergeCell ref="A69:G69"/>
    <mergeCell ref="B41:G41"/>
    <mergeCell ref="B50:G50"/>
    <mergeCell ref="D11:G11"/>
    <mergeCell ref="A100:B100"/>
    <mergeCell ref="C106:G106"/>
    <mergeCell ref="A95:G95"/>
    <mergeCell ref="A102:B102"/>
    <mergeCell ref="D79:E79"/>
    <mergeCell ref="A5:G5"/>
    <mergeCell ref="A38:G38"/>
    <mergeCell ref="C29:D29"/>
    <mergeCell ref="B40:G40"/>
    <mergeCell ref="A60:G60"/>
    <mergeCell ref="C31:D31"/>
    <mergeCell ref="D81:G81"/>
    <mergeCell ref="A3:B3"/>
    <mergeCell ref="A6:G6"/>
    <mergeCell ref="A106:B106"/>
    <mergeCell ref="A96:B96"/>
    <mergeCell ref="C32:D32"/>
    <mergeCell ref="D55:E55"/>
    <mergeCell ref="A2:G2"/>
    <mergeCell ref="B43:G43"/>
    <mergeCell ref="B52:G52"/>
    <mergeCell ref="B42:G42"/>
    <mergeCell ref="C24:D24"/>
    <mergeCell ref="D12:G12"/>
    <mergeCell ref="D83:G83"/>
    <mergeCell ref="C7:F7"/>
    <mergeCell ref="C107:G107"/>
    <mergeCell ref="D67:G67"/>
    <mergeCell ref="A110:B110"/>
    <mergeCell ref="B44:G44"/>
    <mergeCell ref="C26:D26"/>
    <mergeCell ref="B53:G53"/>
    <mergeCell ref="D14:G14"/>
    <mergeCell ref="A16:B16"/>
    <mergeCell ref="C25:D25"/>
    <mergeCell ref="D57:E57"/>
    <mergeCell ref="A18:B18"/>
    <mergeCell ref="A61:G61"/>
    <mergeCell ref="A70:G70"/>
    <mergeCell ref="D58:E58"/>
    <mergeCell ref="A97:B97"/>
    <mergeCell ref="A20:B20"/>
    <mergeCell ref="D74:E74"/>
    <mergeCell ref="B46:G46"/>
    <mergeCell ref="A112:B112"/>
    <mergeCell ref="B48:G48"/>
    <mergeCell ref="C3:G3"/>
  </mergeCells>
  <dataValidations count="5">
    <dataValidation sqref="E25:E32" showDropDown="0" showInputMessage="0" showErrorMessage="0" allowBlank="1" type="list" errorStyle="stop" operator="between">
      <formula1>_ds!$E$1:$E$3</formula1>
      <formula2>0</formula2>
    </dataValidation>
    <dataValidation sqref="C56:C58" showDropDown="0" showInputMessage="0" showErrorMessage="0" allowBlank="1" type="list" errorStyle="stop" operator="between">
      <formula1>_ds!$F$1:$F$5</formula1>
      <formula2>0</formula2>
    </dataValidation>
    <dataValidation sqref="F63:F66" showDropDown="0" showInputMessage="0" showErrorMessage="0" allowBlank="1" type="list" errorStyle="stop" operator="between">
      <formula1>_ds!$N$1:$N$4</formula1>
      <formula2>0</formula2>
    </dataValidation>
    <dataValidation sqref="F84" showDropDown="0" showInputMessage="0" showErrorMessage="0" allowBlank="1" type="list" errorStyle="stop" operator="between">
      <formula1>_ds!$B$1:$B$3</formula1>
      <formula2>0</formula2>
    </dataValidation>
    <dataValidation sqref="C105" showDropDown="0" showInputMessage="0" showErrorMessage="0" allowBlank="1" type="list" errorStyle="stop" operator="between">
      <formula1>_ds!$J$1:$J$3</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6" min="1" max="1"/>
    <col width="9" customWidth="1" style="26" min="2" max="2"/>
    <col width="44" customWidth="1" style="26" min="3" max="3"/>
    <col width="38" customWidth="1" style="26" min="4" max="4"/>
    <col width="34" customWidth="1" style="26" min="5" max="5"/>
    <col width="12" customWidth="1" style="26" min="6" max="6"/>
  </cols>
  <sheetData>
    <row r="1" ht="17.35" customHeight="1" s="27">
      <c r="A1" s="28" t="inlineStr">
        <is>
          <t>Thang điểm Xưởng (10 điểm) · trợ giảng ghi phần máy chấm, giảng viên chấm phần viết</t>
        </is>
      </c>
    </row>
    <row r="2" ht="18" customHeight="1" s="27">
      <c r="A2" s="29" t="inlineStr">
        <is>
          <t>Chấm theo mô tả; điểm lẻ 0,25 khi bài nằm giữa hai mức. Cột "Tự kiểm tra" lấy từ trang Xưởng: chỉ để tham khảo, không thay cho việc đọc bài.</t>
        </is>
      </c>
    </row>
    <row r="4" ht="18" customHeight="1" s="27">
      <c r="A4" s="33" t="inlineStr">
        <is>
          <t>Phần</t>
        </is>
      </c>
      <c r="B4" s="33" t="inlineStr">
        <is>
          <t>Tối đa</t>
        </is>
      </c>
      <c r="C4" s="33" t="inlineStr">
        <is>
          <t>Đủ điểm</t>
        </is>
      </c>
      <c r="D4" s="33" t="inlineStr">
        <is>
          <t>Một nửa</t>
        </is>
      </c>
      <c r="E4" s="33" t="inlineStr">
        <is>
          <t>Không điểm</t>
        </is>
      </c>
      <c r="F4" s="33" t="inlineStr">
        <is>
          <t>Điểm chấm</t>
        </is>
      </c>
    </row>
    <row r="5" ht="33" customHeight="1" s="27">
      <c r="A5" s="35" t="inlineStr">
        <is>
          <t>X1</t>
        </is>
      </c>
      <c r="B5" s="52" t="n">
        <v>1</v>
      </c>
      <c r="C5" s="34" t="inlineStr">
        <is>
          <t>Có đủ đầu vào, đầu ra kiểm được và ràng buộc bằng số; nói rõ ca nào chuyển người</t>
        </is>
      </c>
      <c r="D5" s="34" t="inlineStr">
        <is>
          <t>Có câu nhưng thiếu ràng buộc hoặc đầu ra không kiểm được</t>
        </is>
      </c>
      <c r="E5" s="34" t="inlineStr">
        <is>
          <t>Mục tiêu chung chung ("trả lời tốt hơn")</t>
        </is>
      </c>
      <c r="F5" s="45" t="n"/>
    </row>
    <row r="6" ht="33" customHeight="1" s="27">
      <c r="A6" s="35" t="inlineStr">
        <is>
          <t>X2</t>
        </is>
      </c>
      <c r="B6" s="52" t="n">
        <v>1</v>
      </c>
      <c r="C6" s="34" t="inlineStr">
        <is>
          <t>3 chiều đều qua phép thử, ghi rõ hành vi đổi thế nào; số đầu vào 40–50</t>
        </is>
      </c>
      <c r="D6" s="34" t="inlineStr">
        <is>
          <t>2 chiều qua phép thử hoặc số đầu vào ngoài khoảng</t>
        </is>
      </c>
      <c r="E6" s="34" t="inlineStr">
        <is>
          <t>Chọn thuộc tính chỉ là cách diễn đạt (lịch sự, độ dài)</t>
        </is>
      </c>
      <c r="F6" s="45" t="n"/>
    </row>
    <row r="7" ht="33" customHeight="1" s="27">
      <c r="A7" s="35" t="inlineStr">
        <is>
          <t>X3</t>
        </is>
      </c>
      <c r="B7" s="52" t="n">
        <v>2</v>
      </c>
      <c r="C7" s="34" t="inlineStr">
        <is>
          <t>8 tình huống, đủ 3 loại, ≥ 3 thử thách; hành vi đúng cụ thể, dẫn chính sách</t>
        </is>
      </c>
      <c r="D7" s="34" t="inlineStr">
        <is>
          <t>Thiếu 1 loại hoặc hành vi đúng còn chung chung</t>
        </is>
      </c>
      <c r="E7" s="34" t="inlineStr">
        <is>
          <t>Ít hơn 6 tình huống hoặc toàn tình huống dễ</t>
        </is>
      </c>
      <c r="F7" s="45" t="n"/>
    </row>
    <row r="8" ht="33" customHeight="1" s="27">
      <c r="A8" s="35" t="inlineStr">
        <is>
          <t>X4</t>
        </is>
      </c>
      <c r="B8" s="52" t="n">
        <v>1.5</v>
      </c>
      <c r="C8" s="34" t="inlineStr">
        <is>
          <t>Đúng bước và đúng mã lỗi gốc ở cả 3 vết (0,25 điểm mỗi ô đúng)</t>
        </is>
      </c>
      <c r="D8" s="34" t="inlineStr">
        <is>
          <t>Đúng một trong hai ô (bước hoặc mã) ở mỗi vết</t>
        </is>
      </c>
      <c r="E8" s="34" t="inlineStr">
        <is>
          <t>Sai cả bước và mã; cột “Nên sửa ở đâu” chỉ để nhận xét, không tính điểm</t>
        </is>
      </c>
      <c r="F8" s="45" t="n"/>
    </row>
    <row r="9" ht="48" customHeight="1" s="27">
      <c r="A9" s="35" t="inlineStr">
        <is>
          <t>X5</t>
        </is>
      </c>
      <c r="B9" s="52" t="n">
        <v>2</v>
      </c>
      <c r="C9" s="34" t="inlineStr">
        <is>
          <t>4 tiêu chí nhị phân, có ví dụ sát ranh hai phía, bộ chấm đúng căn cứ kiểm chứng, có ngưỡng (0,5 mỗi tiêu chí)</t>
        </is>
      </c>
      <c r="D9" s="34" t="inlineStr">
        <is>
          <t>Thiếu ví dụ sát ranh hoặc thiếu ngưỡng</t>
        </is>
      </c>
      <c r="E9" s="34" t="inlineStr">
        <is>
          <t>Dùng từ mơ hồ ("phù hợp", "hợp lý") hoặc thang điểm</t>
        </is>
      </c>
      <c r="F9" s="45" t="n"/>
    </row>
    <row r="10" ht="33" customHeight="1" s="27">
      <c r="A10" s="35" t="inlineStr">
        <is>
          <t>X6</t>
        </is>
      </c>
      <c r="B10" s="52" t="n">
        <v>1</v>
      </c>
      <c r="C10" s="34" t="inlineStr">
        <is>
          <t>Đếm đúng 4 ô, TPR và TNR đúng, chọn đúng kết luận B</t>
        </is>
      </c>
      <c r="D10" s="34" t="inlineStr">
        <is>
          <t>Số đúng nhưng kết luận sai</t>
        </is>
      </c>
      <c r="E10" s="34" t="inlineStr">
        <is>
          <t>Đếm sai ô</t>
        </is>
      </c>
      <c r="F10" s="45" t="n"/>
    </row>
    <row r="11" ht="48" customHeight="1" s="27">
      <c r="A11" s="35" t="inlineStr">
        <is>
          <t>X7</t>
        </is>
      </c>
      <c r="B11" s="52" t="n">
        <v>1.5</v>
      </c>
      <c r="C11" s="34" t="inlineStr">
        <is>
          <t>Chọn Phát hành, kế hoạch có mẫu %, 3 tín hiệu, ngưỡng cảnh báo bằng số; trả lời đúng 3 câu số liệu</t>
        </is>
      </c>
      <c r="D11" s="34" t="inlineStr">
        <is>
          <t>Đúng kết luận, kế hoạch thiếu số</t>
        </is>
      </c>
      <c r="E11" s="34" t="inlineStr">
        <is>
          <t>Chọn Lặp tiếp vì Ghi nhận cảm xúc giảm 2 điểm (đó là nhiễu)</t>
        </is>
      </c>
      <c r="F11" s="45" t="n"/>
    </row>
    <row r="12" ht="18" customHeight="1" s="27">
      <c r="A12" s="35" t="inlineStr">
        <is>
          <t>Tổng</t>
        </is>
      </c>
      <c r="B12" s="53">
        <f>SUM(B5:B11)</f>
        <v/>
      </c>
      <c r="F12" s="54">
        <f>IF(COUNT(F5:F11)=0,"",SUM(F5:F11))</f>
        <v/>
      </c>
    </row>
  </sheetData>
  <sheetProtection selectLockedCells="0" selectUnlockedCells="0" sheet="1" objects="0" insertRows="1" insertHyperlinks="1" autoFilter="1" scenarios="0" formatColumns="1" deleteColumns="1" insertColumns="1" pivotTables="1" deleteRows="1" formatCells="1" formatRows="1" sort="1" password="c716"/>
  <mergeCells count="1">
    <mergeCell ref="A2:F2"/>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26" min="1" max="1"/>
    <col width="52" customWidth="1" style="26" min="2" max="2"/>
    <col width="14" customWidth="1" style="26" min="3" max="3"/>
    <col width="12" customWidth="1" style="26" min="4" max="4"/>
  </cols>
  <sheetData>
    <row r="1" ht="17.35" customHeight="1" s="27">
      <c r="A1" s="28" t="inlineStr">
        <is>
          <t>Tổng hợp kết quả tự kiểm tra</t>
        </is>
      </c>
    </row>
    <row r="3" ht="18" customHeight="1" s="27">
      <c r="A3" s="33" t="inlineStr">
        <is>
          <t>Bài</t>
        </is>
      </c>
      <c r="B3" s="33" t="inlineStr">
        <is>
          <t>Nội dung</t>
        </is>
      </c>
      <c r="C3" s="33" t="inlineStr">
        <is>
          <t>Số câu đúng</t>
        </is>
      </c>
      <c r="D3" s="33" t="inlineStr">
        <is>
          <t>Tổng số câu</t>
        </is>
      </c>
    </row>
    <row r="4" ht="18" customHeight="1" s="27">
      <c r="A4" s="35" t="inlineStr">
        <is>
          <t>Bài 1</t>
        </is>
      </c>
      <c r="B4" s="34" t="inlineStr">
        <is>
          <t>Đọc báo cáo đánh giá và thu hẹp phạm vi</t>
        </is>
      </c>
      <c r="C4" s="49">
        <f>'Bài 1'!C29</f>
        <v/>
      </c>
      <c r="D4" s="55" t="n">
        <v>9</v>
      </c>
    </row>
    <row r="5" ht="18" customHeight="1" s="27">
      <c r="A5" s="35" t="inlineStr">
        <is>
          <t>Bài 2</t>
        </is>
      </c>
      <c r="B5" s="34" t="inlineStr">
        <is>
          <t>Phủ ca và chọn tình huống</t>
        </is>
      </c>
      <c r="C5" s="49">
        <f>'Bài 2'!C25</f>
        <v/>
      </c>
      <c r="D5" s="55" t="n">
        <v>14</v>
      </c>
    </row>
    <row r="6" ht="18" customHeight="1" s="27">
      <c r="A6" s="35" t="inlineStr">
        <is>
          <t>Bài 3</t>
        </is>
      </c>
      <c r="B6" s="34" t="inlineStr">
        <is>
          <t>Đọc vết thực thi, tìm bước sai đầu tiên</t>
        </is>
      </c>
      <c r="C6" s="49">
        <f>'Bài 3'!C39</f>
        <v/>
      </c>
      <c r="D6" s="55" t="n">
        <v>9</v>
      </c>
    </row>
    <row r="7" ht="18" customHeight="1" s="27">
      <c r="A7" s="35" t="inlineStr">
        <is>
          <t>Bài 4</t>
        </is>
      </c>
      <c r="B7" s="34" t="inlineStr">
        <is>
          <t>Chọn cách chấm và ra kết luận</t>
        </is>
      </c>
      <c r="C7" s="49">
        <f>'Bài 4'!C33</f>
        <v/>
      </c>
      <c r="D7" s="55" t="n">
        <v>15</v>
      </c>
    </row>
    <row r="8" ht="18" customHeight="1" s="27">
      <c r="A8" s="35" t="inlineStr">
        <is>
          <t>Bài 5</t>
        </is>
      </c>
      <c r="B8" s="34" t="inlineStr">
        <is>
          <t>Hiệu chỉnh giám khảo AI</t>
        </is>
      </c>
      <c r="C8" s="49">
        <f>'Bài 5'!C44</f>
        <v/>
      </c>
      <c r="D8" s="55" t="n">
        <v>18</v>
      </c>
    </row>
    <row r="10" ht="18" customHeight="1" s="27">
      <c r="A10" s="48" t="inlineStr">
        <is>
          <t>Xưởng · các ô tự kiểm tra</t>
        </is>
      </c>
    </row>
    <row r="11" ht="18" customHeight="1" s="27">
      <c r="A11" s="35" t="inlineStr">
        <is>
          <t>X1</t>
        </is>
      </c>
      <c r="B11" s="34" t="inlineStr">
        <is>
          <t>Đơn vị công việc AI</t>
        </is>
      </c>
      <c r="C11" s="56">
        <f>Xưởng!G7</f>
        <v/>
      </c>
    </row>
    <row r="12" ht="18" customHeight="1" s="27">
      <c r="A12" s="35" t="inlineStr">
        <is>
          <t>X2</t>
        </is>
      </c>
      <c r="B12" s="34" t="inlineStr">
        <is>
          <t>Chiều và phễu</t>
        </is>
      </c>
      <c r="C12" s="56">
        <f>Xưởng!D20</f>
        <v/>
      </c>
    </row>
    <row r="13" ht="18" customHeight="1" s="27">
      <c r="A13" s="35" t="inlineStr">
        <is>
          <t>X3</t>
        </is>
      </c>
      <c r="B13" s="34" t="inlineStr">
        <is>
          <t>8 tình huống</t>
        </is>
      </c>
      <c r="C13" s="56">
        <f>Xưởng!C36</f>
        <v/>
      </c>
    </row>
    <row r="14" ht="18" customHeight="1" s="27">
      <c r="A14" s="35" t="inlineStr">
        <is>
          <t>X4</t>
        </is>
      </c>
      <c r="B14" s="34" t="inlineStr">
        <is>
          <t>Đọc 3 vết thực thi mới</t>
        </is>
      </c>
      <c r="C14" s="49">
        <f>COUNTIF(Xưởng!F56:G58,"Đúng")</f>
        <v/>
      </c>
      <c r="D14" s="34" t="inlineStr">
        <is>
          <t>/ 6 ô</t>
        </is>
      </c>
    </row>
    <row r="15" ht="18" customHeight="1" s="27">
      <c r="A15" s="35" t="inlineStr">
        <is>
          <t>X5</t>
        </is>
      </c>
      <c r="B15" s="34" t="inlineStr">
        <is>
          <t>4 tiêu chí nhị phân</t>
        </is>
      </c>
      <c r="C15" s="56">
        <f>Xưởng!C67</f>
        <v/>
      </c>
    </row>
    <row r="16" ht="18" customHeight="1" s="27">
      <c r="A16" s="35" t="inlineStr">
        <is>
          <t>X6</t>
        </is>
      </c>
      <c r="B16" s="34" t="inlineStr">
        <is>
          <t>Hiệu chỉnh giám khảo</t>
        </is>
      </c>
      <c r="C16" s="49">
        <f>COUNTIF(Xưởng!G72:G84,"Đúng")</f>
        <v/>
      </c>
      <c r="D16" s="34" t="inlineStr">
        <is>
          <t>/ 5 ô</t>
        </is>
      </c>
    </row>
    <row r="17" ht="18" customHeight="1" s="27">
      <c r="A17" s="35" t="inlineStr">
        <is>
          <t>X7</t>
        </is>
      </c>
      <c r="B17" s="34" t="inlineStr">
        <is>
          <t>Kết luận có răng</t>
        </is>
      </c>
      <c r="C17" s="49">
        <f>COUNTIF(Xưởng!D105:D112,"Đúng")</f>
        <v/>
      </c>
      <c r="D17" s="34" t="inlineStr">
        <is>
          <t>/ 4 ô</t>
        </is>
      </c>
    </row>
  </sheetData>
  <sheetProtection selectLockedCells="0" selectUnlockedCells="0" sheet="1" objects="0" insertRows="1" insertHyperlinks="1" autoFilter="1" scenarios="0" formatColumns="1" deleteColumns="1" insertColumns="1" pivotTables="1" deleteRows="1" formatCells="1" formatRows="1" sort="1" password="c716"/>
  <mergeCells count="1">
    <mergeCell ref="A10:D10"/>
  </mergeCells>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N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27">
      <c r="A1" s="26" t="inlineStr">
        <is>
          <t>Có</t>
        </is>
      </c>
      <c r="B1" s="26" t="inlineStr">
        <is>
          <t>A</t>
        </is>
      </c>
      <c r="C1" s="26" t="inlineStr">
        <is>
          <t>Khoảng 100 ca</t>
        </is>
      </c>
      <c r="D1" s="26" t="inlineStr">
        <is>
          <t>Trục 1</t>
        </is>
      </c>
      <c r="E1" s="26" t="inlineStr">
        <is>
          <t>Đại diện</t>
        </is>
      </c>
      <c r="F1" s="26" t="inlineStr">
        <is>
          <t>wrong_intent</t>
        </is>
      </c>
      <c r="G1" s="26" t="inlineStr">
        <is>
          <t>Thiếu đặc tả → sửa câu lệnh</t>
        </is>
      </c>
      <c r="H1" s="26" t="inlineStr">
        <is>
          <t>Mã lệnh</t>
        </is>
      </c>
      <c r="I1" s="26" t="inlineStr">
        <is>
          <t>Đạt · đúng 1 nhãn</t>
        </is>
      </c>
      <c r="J1" s="26" t="inlineStr">
        <is>
          <t>Phát hành</t>
        </is>
      </c>
      <c r="K1" s="26" t="inlineStr">
        <is>
          <t>Sửa câu lệnh</t>
        </is>
      </c>
      <c r="L1" s="26" t="inlineStr">
        <is>
          <t>Cho qua lỗi</t>
        </is>
      </c>
      <c r="M1" s="26" t="inlineStr">
        <is>
          <t>Đúng</t>
        </is>
      </c>
      <c r="N1" s="26" t="inlineStr">
        <is>
          <t>Mã lệnh</t>
        </is>
      </c>
    </row>
    <row r="2" ht="15" customHeight="1" s="27">
      <c r="A2" s="26" t="inlineStr">
        <is>
          <t>Không</t>
        </is>
      </c>
      <c r="B2" s="26" t="inlineStr">
        <is>
          <t>B</t>
        </is>
      </c>
      <c r="C2" s="26" t="inlineStr">
        <is>
          <t>Khoảng 1.000 ca</t>
        </is>
      </c>
      <c r="D2" s="26" t="inlineStr">
        <is>
          <t>Trục 2</t>
        </is>
      </c>
      <c r="E2" s="26" t="inlineStr">
        <is>
          <t>Thử thách</t>
        </is>
      </c>
      <c r="F2" s="26" t="inlineStr">
        <is>
          <t>missing_lookup</t>
        </is>
      </c>
      <c r="G2" s="26" t="inlineStr">
        <is>
          <t>Thiếu năng lực hệ thống → sửa kỹ thuật</t>
        </is>
      </c>
      <c r="H2" s="26" t="inlineStr">
        <is>
          <t>Giám khảo AI</t>
        </is>
      </c>
      <c r="I2" s="26" t="inlineStr">
        <is>
          <t>Không đạt · không có nhãn hợp lệ</t>
        </is>
      </c>
      <c r="J2" s="26" t="inlineStr">
        <is>
          <t>Lặp tiếp</t>
        </is>
      </c>
      <c r="K2" s="26" t="inlineStr">
        <is>
          <t>Đổi mô hình</t>
        </is>
      </c>
      <c r="L2" s="26" t="inlineStr">
        <is>
          <t>Chặn nhầm</t>
        </is>
      </c>
      <c r="M2" s="26" t="inlineStr">
        <is>
          <t>Sai</t>
        </is>
      </c>
      <c r="N2" s="26" t="inlineStr">
        <is>
          <t>Giám khảo AI</t>
        </is>
      </c>
    </row>
    <row r="3" ht="15" customHeight="1" s="27">
      <c r="B3" s="26" t="inlineStr">
        <is>
          <t>C</t>
        </is>
      </c>
      <c r="C3" s="26" t="inlineStr">
        <is>
          <t>Khoảng 10.000 ca</t>
        </is>
      </c>
      <c r="D3" s="26" t="inlineStr">
        <is>
          <t>Trục 3</t>
        </is>
      </c>
      <c r="E3" s="26" t="inlineStr">
        <is>
          <t>Hồi quy nghiêm trọng</t>
        </is>
      </c>
      <c r="F3" s="26" t="inlineStr">
        <is>
          <t>premature_commit</t>
        </is>
      </c>
      <c r="G3" s="26" t="inlineStr">
        <is>
          <t>Lúc được lúc không → viết bài đánh giá tự động</t>
        </is>
      </c>
      <c r="H3" s="26" t="inlineStr">
        <is>
          <t>Người quyết</t>
        </is>
      </c>
      <c r="I3" s="26" t="inlineStr">
        <is>
          <t>Không đạt · nhiều hơn 1 nhãn</t>
        </is>
      </c>
      <c r="J3" s="26" t="inlineStr">
        <is>
          <t>Quay về bản cũ</t>
        </is>
      </c>
      <c r="K3" s="26" t="inlineStr">
        <is>
          <t>Đổi kiến trúc</t>
        </is>
      </c>
      <c r="N3" s="26" t="inlineStr">
        <is>
          <t>Người quyết</t>
        </is>
      </c>
    </row>
    <row r="4" ht="15" customHeight="1" s="27">
      <c r="F4" s="26" t="inlineStr">
        <is>
          <t>missing_escalation</t>
        </is>
      </c>
      <c r="N4" s="26" t="inlineStr">
        <is>
          <t>Mã lệnh (lời gọi công cụ) + người kiểm mẫu 10%</t>
        </is>
      </c>
    </row>
    <row r="5" ht="15" customHeight="1" s="27">
      <c r="F5" s="26" t="inlineStr">
        <is>
          <t>no_next_step</t>
        </is>
      </c>
    </row>
  </sheetData>
  <sheetProtection selectLockedCells="0" selectUnlockedCells="0" sheet="1" objects="0" insertRows="1" insertHyperlinks="1" autoFilter="1" scenarios="0" formatColumns="1" deleteColumns="1" insertColumns="1" pivotTables="1" deleteRows="1" formatCells="1" formatRows="1" sort="1" password="c716"/>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2026-10-14T16:05:47Z</dcterms:created>
  <dcterms:modified xmlns:dcterms="http://purl.org/dc/terms/" xmlns:xsi="http://www.w3.org/2001/XMLSchema-instance" xsi:type="dcterms:W3CDTF">2026-10-16T04:00:14Z</dcterms:modified>
  <cp:revision>0</cp:revision>
</cp:coreProperties>
</file>